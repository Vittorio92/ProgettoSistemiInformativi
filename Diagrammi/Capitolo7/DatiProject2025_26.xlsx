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torio\Desktop\ProgettoSistemiInformativi\Diagrammi\Capitolo7\"/>
    </mc:Choice>
  </mc:AlternateContent>
  <xr:revisionPtr revIDLastSave="0" documentId="13_ncr:1_{ACAE1BC5-0710-498D-BDDA-6B0550A0943E}" xr6:coauthVersionLast="47" xr6:coauthVersionMax="47" xr10:uidLastSave="{00000000-0000-0000-0000-000000000000}"/>
  <bookViews>
    <workbookView xWindow="-110" yWindow="-110" windowWidth="21820" windowHeight="13900" firstSheet="7" activeTab="11" xr2:uid="{CFE5B68C-3E92-5C45-A3EA-5AB2DAB66206}"/>
  </bookViews>
  <sheets>
    <sheet name="GANTT progetto" sheetId="1" r:id="rId1"/>
    <sheet name="Plan Fase 1" sheetId="3" r:id="rId2"/>
    <sheet name="Gruppi Fase 1" sheetId="11" r:id="rId3"/>
    <sheet name="Plan Fase 2" sheetId="4" r:id="rId4"/>
    <sheet name="Gruppi Fase 2" sheetId="12" r:id="rId5"/>
    <sheet name="Riepilogo Impegni OP" sheetId="2" r:id="rId6"/>
    <sheet name="Riepilogo Impegni AP" sheetId="5" r:id="rId7"/>
    <sheet name="Costi Base" sheetId="6" r:id="rId8"/>
    <sheet name="Costi Anno 0" sheetId="7" r:id="rId9"/>
    <sheet name="Costi Anni 1-5" sheetId="9" r:id="rId10"/>
    <sheet name="Ricavi Anni 1-5" sheetId="10" r:id="rId11"/>
    <sheet name="Costi Ricavi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9" l="1"/>
  <c r="C4" i="7" l="1"/>
  <c r="C13" i="5"/>
  <c r="C13" i="2"/>
  <c r="C10" i="2"/>
  <c r="F4" i="11"/>
  <c r="AB192" i="3"/>
  <c r="AB191" i="3"/>
  <c r="AB189" i="3"/>
  <c r="AB188" i="3"/>
  <c r="AB186" i="3"/>
  <c r="AB185" i="3"/>
  <c r="AB184" i="3"/>
  <c r="AB182" i="3"/>
  <c r="AB181" i="3"/>
  <c r="AB180" i="3"/>
  <c r="AB178" i="3"/>
  <c r="AB177" i="3"/>
  <c r="AB176" i="3"/>
  <c r="AB175" i="3"/>
  <c r="AB173" i="3"/>
  <c r="AB172" i="3"/>
  <c r="AB171" i="3"/>
  <c r="AB170" i="3"/>
  <c r="AB169" i="3"/>
  <c r="AB167" i="3"/>
  <c r="AB166" i="3"/>
  <c r="AB165" i="3" s="1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AB122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5" i="2"/>
  <c r="B35" i="3"/>
  <c r="AB97" i="3" s="1"/>
  <c r="B11" i="4"/>
  <c r="AB187" i="3" l="1"/>
  <c r="AB168" i="3"/>
  <c r="AB190" i="3"/>
  <c r="AB183" i="3"/>
  <c r="AB179" i="3"/>
  <c r="AB174" i="3"/>
  <c r="AB117" i="3"/>
  <c r="AB121" i="3"/>
  <c r="AB134" i="3"/>
  <c r="AB135" i="3"/>
  <c r="AB145" i="3"/>
  <c r="AB146" i="3"/>
  <c r="AB148" i="3"/>
  <c r="AB149" i="3"/>
  <c r="AB150" i="3"/>
  <c r="AB137" i="3"/>
  <c r="AB152" i="3"/>
  <c r="AB151" i="3" s="1"/>
  <c r="AB138" i="3"/>
  <c r="AB153" i="3"/>
  <c r="AB103" i="3"/>
  <c r="AB139" i="3"/>
  <c r="AB154" i="3"/>
  <c r="AB106" i="3"/>
  <c r="AB140" i="3"/>
  <c r="AB156" i="3"/>
  <c r="AB107" i="3"/>
  <c r="AB141" i="3"/>
  <c r="AB157" i="3"/>
  <c r="AB108" i="3"/>
  <c r="AB143" i="3"/>
  <c r="AB142" i="3" s="1"/>
  <c r="AB159" i="3"/>
  <c r="AB109" i="3"/>
  <c r="AB144" i="3"/>
  <c r="AB160" i="3"/>
  <c r="AB158" i="3"/>
  <c r="AB111" i="3"/>
  <c r="AB118" i="3"/>
  <c r="AB120" i="3"/>
  <c r="AB119" i="3" s="1"/>
  <c r="AB105" i="3"/>
  <c r="AB124" i="3"/>
  <c r="AB125" i="3"/>
  <c r="AB123" i="3" s="1"/>
  <c r="AB113" i="3"/>
  <c r="AB112" i="3"/>
  <c r="AB114" i="3"/>
  <c r="AB127" i="3"/>
  <c r="AB102" i="3"/>
  <c r="AB101" i="3" s="1"/>
  <c r="AB116" i="3"/>
  <c r="AB128" i="3"/>
  <c r="AB59" i="3"/>
  <c r="AB85" i="3"/>
  <c r="AB74" i="3"/>
  <c r="AB52" i="3"/>
  <c r="AB75" i="3"/>
  <c r="AB63" i="3"/>
  <c r="AB76" i="3"/>
  <c r="AB89" i="3"/>
  <c r="AB58" i="3"/>
  <c r="AB87" i="3"/>
  <c r="AB50" i="3"/>
  <c r="AB77" i="3"/>
  <c r="AB90" i="3"/>
  <c r="AB86" i="3"/>
  <c r="AB51" i="3"/>
  <c r="AB54" i="3"/>
  <c r="AB78" i="3"/>
  <c r="AB91" i="3"/>
  <c r="AB62" i="3"/>
  <c r="AB72" i="3"/>
  <c r="AB56" i="3"/>
  <c r="AB60" i="3"/>
  <c r="AB44" i="3"/>
  <c r="AB49" i="3"/>
  <c r="AB55" i="3"/>
  <c r="AB80" i="3"/>
  <c r="AB93" i="3"/>
  <c r="AB81" i="3"/>
  <c r="AB94" i="3"/>
  <c r="AB82" i="3"/>
  <c r="AB96" i="3"/>
  <c r="AB95" i="3" s="1"/>
  <c r="AB71" i="3"/>
  <c r="AB83" i="3"/>
  <c r="AB65" i="3"/>
  <c r="AB66" i="3"/>
  <c r="AB40" i="3"/>
  <c r="AB41" i="3"/>
  <c r="AB43" i="3"/>
  <c r="AB45" i="3"/>
  <c r="B36" i="3"/>
  <c r="AB193" i="3" l="1"/>
  <c r="AB136" i="3"/>
  <c r="AB104" i="3"/>
  <c r="AB147" i="3"/>
  <c r="AB133" i="3"/>
  <c r="AB155" i="3"/>
  <c r="AB61" i="3"/>
  <c r="AB161" i="3"/>
  <c r="AB115" i="3"/>
  <c r="AB110" i="3"/>
  <c r="AB126" i="3"/>
  <c r="AB70" i="3"/>
  <c r="AB64" i="3"/>
  <c r="AB88" i="3"/>
  <c r="AB57" i="3"/>
  <c r="AB53" i="3"/>
  <c r="AB92" i="3"/>
  <c r="AB73" i="3"/>
  <c r="AB79" i="3"/>
  <c r="AB84" i="3"/>
  <c r="AB39" i="3"/>
  <c r="AB48" i="3"/>
  <c r="G9" i="10"/>
  <c r="G10" i="10" s="1"/>
  <c r="F9" i="10"/>
  <c r="E9" i="10"/>
  <c r="D9" i="10"/>
  <c r="C9" i="10"/>
  <c r="D6" i="10"/>
  <c r="E6" i="10"/>
  <c r="F6" i="10"/>
  <c r="G6" i="10"/>
  <c r="C6" i="10"/>
  <c r="C11" i="6"/>
  <c r="F11" i="6"/>
  <c r="E11" i="6"/>
  <c r="D11" i="6"/>
  <c r="F3" i="6"/>
  <c r="E3" i="6"/>
  <c r="D3" i="6"/>
  <c r="C3" i="6"/>
  <c r="C5" i="6" s="1"/>
  <c r="G3" i="8" l="1"/>
  <c r="F10" i="10"/>
  <c r="F3" i="8" s="1"/>
  <c r="E10" i="10"/>
  <c r="D10" i="10"/>
  <c r="C10" i="10"/>
  <c r="C3" i="8" s="1"/>
  <c r="AB129" i="3"/>
  <c r="AB98" i="3"/>
  <c r="H6" i="10"/>
  <c r="H9" i="10"/>
  <c r="H8" i="10"/>
  <c r="E3" i="8"/>
  <c r="H5" i="10"/>
  <c r="F4" i="6"/>
  <c r="F5" i="6"/>
  <c r="E4" i="6"/>
  <c r="E5" i="6"/>
  <c r="D4" i="6"/>
  <c r="D5" i="6"/>
  <c r="C4" i="6"/>
  <c r="H10" i="10" l="1"/>
  <c r="J3" i="8"/>
  <c r="D3" i="8"/>
  <c r="E6" i="6"/>
  <c r="D6" i="6"/>
  <c r="F6" i="6"/>
  <c r="C6" i="6"/>
  <c r="H3" i="8" l="1"/>
  <c r="I58" i="4" l="1"/>
  <c r="H58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W56" i="4"/>
  <c r="V56" i="4"/>
  <c r="U56" i="4"/>
  <c r="T56" i="4"/>
  <c r="S56" i="4"/>
  <c r="R56" i="4"/>
  <c r="Q56" i="4"/>
  <c r="P56" i="4"/>
  <c r="O56" i="4"/>
  <c r="N56" i="4"/>
  <c r="M56" i="4"/>
  <c r="M58" i="4" s="1"/>
  <c r="L56" i="4"/>
  <c r="K56" i="4"/>
  <c r="J56" i="4"/>
  <c r="I56" i="4"/>
  <c r="H56" i="4"/>
  <c r="G56" i="4"/>
  <c r="F56" i="4"/>
  <c r="E56" i="4"/>
  <c r="D56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W54" i="4"/>
  <c r="V54" i="4"/>
  <c r="U54" i="4"/>
  <c r="U58" i="4" s="1"/>
  <c r="T54" i="4"/>
  <c r="S54" i="4"/>
  <c r="R54" i="4"/>
  <c r="Q54" i="4"/>
  <c r="Q58" i="4" s="1"/>
  <c r="P54" i="4"/>
  <c r="P58" i="4" s="1"/>
  <c r="O54" i="4"/>
  <c r="N54" i="4"/>
  <c r="M54" i="4"/>
  <c r="L54" i="4"/>
  <c r="K54" i="4"/>
  <c r="J54" i="4"/>
  <c r="I54" i="4"/>
  <c r="H54" i="4"/>
  <c r="G54" i="4"/>
  <c r="F54" i="4"/>
  <c r="E54" i="4"/>
  <c r="D54" i="4"/>
  <c r="W53" i="4"/>
  <c r="W58" i="4" s="1"/>
  <c r="V53" i="4"/>
  <c r="U53" i="4"/>
  <c r="T53" i="4"/>
  <c r="S53" i="4"/>
  <c r="S58" i="4" s="1"/>
  <c r="R53" i="4"/>
  <c r="R58" i="4" s="1"/>
  <c r="Q53" i="4"/>
  <c r="P53" i="4"/>
  <c r="O53" i="4"/>
  <c r="O58" i="4" s="1"/>
  <c r="N53" i="4"/>
  <c r="M53" i="4"/>
  <c r="L53" i="4"/>
  <c r="K53" i="4"/>
  <c r="K58" i="4" s="1"/>
  <c r="J53" i="4"/>
  <c r="J58" i="4" s="1"/>
  <c r="I53" i="4"/>
  <c r="H53" i="4"/>
  <c r="G53" i="4"/>
  <c r="G58" i="4" s="1"/>
  <c r="F53" i="4"/>
  <c r="E53" i="4"/>
  <c r="D53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B12" i="4"/>
  <c r="Y45" i="4" s="1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E58" i="4" l="1"/>
  <c r="J193" i="3"/>
  <c r="U193" i="3"/>
  <c r="R193" i="3"/>
  <c r="Z193" i="3"/>
  <c r="X18" i="4"/>
  <c r="L193" i="3"/>
  <c r="T193" i="3"/>
  <c r="D193" i="3"/>
  <c r="M193" i="3"/>
  <c r="I193" i="3"/>
  <c r="Q193" i="3"/>
  <c r="Y193" i="3"/>
  <c r="E193" i="3"/>
  <c r="AA28" i="4"/>
  <c r="K193" i="3"/>
  <c r="AA19" i="4"/>
  <c r="AA37" i="4"/>
  <c r="X45" i="4"/>
  <c r="Z57" i="4"/>
  <c r="Z53" i="4"/>
  <c r="AB47" i="3"/>
  <c r="S193" i="3"/>
  <c r="F193" i="3"/>
  <c r="N193" i="3"/>
  <c r="V193" i="3"/>
  <c r="AB20" i="4"/>
  <c r="X27" i="4"/>
  <c r="AB38" i="4"/>
  <c r="D58" i="4"/>
  <c r="L58" i="4"/>
  <c r="T58" i="4"/>
  <c r="X56" i="4"/>
  <c r="Z55" i="4"/>
  <c r="AB54" i="4"/>
  <c r="Z48" i="4"/>
  <c r="X47" i="4"/>
  <c r="AB45" i="4"/>
  <c r="Z44" i="4"/>
  <c r="Z39" i="4"/>
  <c r="X38" i="4"/>
  <c r="AB36" i="4"/>
  <c r="Z35" i="4"/>
  <c r="Z30" i="4"/>
  <c r="X29" i="4"/>
  <c r="AB27" i="4"/>
  <c r="Z26" i="4"/>
  <c r="Z21" i="4"/>
  <c r="X20" i="4"/>
  <c r="AB18" i="4"/>
  <c r="Z17" i="4"/>
  <c r="Y55" i="4"/>
  <c r="AA54" i="4"/>
  <c r="Y48" i="4"/>
  <c r="AA45" i="4"/>
  <c r="Y44" i="4"/>
  <c r="Y39" i="4"/>
  <c r="AA36" i="4"/>
  <c r="Y35" i="4"/>
  <c r="Y30" i="4"/>
  <c r="AA27" i="4"/>
  <c r="Y26" i="4"/>
  <c r="Y21" i="4"/>
  <c r="AA18" i="4"/>
  <c r="Y17" i="4"/>
  <c r="AB57" i="4"/>
  <c r="X55" i="4"/>
  <c r="Z54" i="4"/>
  <c r="AB53" i="4"/>
  <c r="X48" i="4"/>
  <c r="AB46" i="4"/>
  <c r="Z45" i="4"/>
  <c r="X44" i="4"/>
  <c r="X39" i="4"/>
  <c r="AB37" i="4"/>
  <c r="Z36" i="4"/>
  <c r="X35" i="4"/>
  <c r="X30" i="4"/>
  <c r="AB28" i="4"/>
  <c r="Z27" i="4"/>
  <c r="X26" i="4"/>
  <c r="X21" i="4"/>
  <c r="AB19" i="4"/>
  <c r="Z18" i="4"/>
  <c r="X17" i="4"/>
  <c r="Y54" i="4"/>
  <c r="AA53" i="4"/>
  <c r="AA46" i="4"/>
  <c r="Y57" i="4"/>
  <c r="AA56" i="4"/>
  <c r="Y53" i="4"/>
  <c r="AA47" i="4"/>
  <c r="Y46" i="4"/>
  <c r="AA38" i="4"/>
  <c r="Y37" i="4"/>
  <c r="AA29" i="4"/>
  <c r="Y28" i="4"/>
  <c r="AA20" i="4"/>
  <c r="Y19" i="4"/>
  <c r="Y47" i="4"/>
  <c r="AA44" i="4"/>
  <c r="AA39" i="4"/>
  <c r="X57" i="4"/>
  <c r="Z56" i="4"/>
  <c r="AB55" i="4"/>
  <c r="X53" i="4"/>
  <c r="AB48" i="4"/>
  <c r="Z47" i="4"/>
  <c r="X46" i="4"/>
  <c r="AB44" i="4"/>
  <c r="AB39" i="4"/>
  <c r="Z38" i="4"/>
  <c r="X37" i="4"/>
  <c r="AB35" i="4"/>
  <c r="AB30" i="4"/>
  <c r="Z29" i="4"/>
  <c r="X28" i="4"/>
  <c r="AB26" i="4"/>
  <c r="AB21" i="4"/>
  <c r="Z20" i="4"/>
  <c r="X19" i="4"/>
  <c r="AB17" i="4"/>
  <c r="Y56" i="4"/>
  <c r="AA55" i="4"/>
  <c r="AA48" i="4"/>
  <c r="Y38" i="4"/>
  <c r="AA35" i="4"/>
  <c r="AA30" i="4"/>
  <c r="Y29" i="4"/>
  <c r="AA26" i="4"/>
  <c r="AA21" i="4"/>
  <c r="Y20" i="4"/>
  <c r="AA17" i="4"/>
  <c r="AA57" i="4"/>
  <c r="X36" i="4"/>
  <c r="Y18" i="4"/>
  <c r="Y36" i="4"/>
  <c r="Z19" i="4"/>
  <c r="G193" i="3"/>
  <c r="O193" i="3"/>
  <c r="W193" i="3"/>
  <c r="Y27" i="4"/>
  <c r="Z46" i="4"/>
  <c r="X54" i="4"/>
  <c r="AB46" i="3"/>
  <c r="AB29" i="4"/>
  <c r="AA193" i="3"/>
  <c r="Z37" i="4"/>
  <c r="H193" i="3"/>
  <c r="P193" i="3"/>
  <c r="X193" i="3"/>
  <c r="Z28" i="4"/>
  <c r="AB47" i="4"/>
  <c r="F58" i="4"/>
  <c r="N58" i="4"/>
  <c r="V58" i="4"/>
  <c r="AB56" i="4"/>
  <c r="AB42" i="3" l="1"/>
  <c r="AB67" i="3" s="1"/>
  <c r="AC36" i="4"/>
  <c r="AA58" i="4"/>
  <c r="L4" i="12" s="1"/>
  <c r="M4" i="12" s="1"/>
  <c r="AC48" i="4"/>
  <c r="AA40" i="4"/>
  <c r="G11" i="2" s="1"/>
  <c r="G11" i="5" s="1"/>
  <c r="AC35" i="4"/>
  <c r="AC19" i="4"/>
  <c r="AC37" i="4"/>
  <c r="Y22" i="4"/>
  <c r="E9" i="2" s="1"/>
  <c r="E9" i="5" s="1"/>
  <c r="AC20" i="4"/>
  <c r="AC38" i="4"/>
  <c r="AC56" i="4"/>
  <c r="Y49" i="4"/>
  <c r="E12" i="2" s="1"/>
  <c r="E12" i="5" s="1"/>
  <c r="AC18" i="4"/>
  <c r="X49" i="4"/>
  <c r="AC44" i="4"/>
  <c r="Z31" i="4"/>
  <c r="F10" i="2" s="1"/>
  <c r="F10" i="5" s="1"/>
  <c r="AB49" i="4"/>
  <c r="H12" i="2" s="1"/>
  <c r="H12" i="5" s="1"/>
  <c r="AC30" i="4"/>
  <c r="F6" i="11"/>
  <c r="AC54" i="4"/>
  <c r="AA22" i="4"/>
  <c r="G9" i="2" s="1"/>
  <c r="G9" i="5" s="1"/>
  <c r="AC28" i="4"/>
  <c r="AC46" i="4"/>
  <c r="AA49" i="4"/>
  <c r="G12" i="2" s="1"/>
  <c r="G12" i="5" s="1"/>
  <c r="X22" i="4"/>
  <c r="AC17" i="4"/>
  <c r="X40" i="4"/>
  <c r="AB58" i="4"/>
  <c r="N4" i="12" s="1"/>
  <c r="O4" i="12" s="1"/>
  <c r="AC29" i="4"/>
  <c r="AC47" i="4"/>
  <c r="X31" i="4"/>
  <c r="AC26" i="4"/>
  <c r="AB31" i="4"/>
  <c r="H10" i="2" s="1"/>
  <c r="H10" i="5" s="1"/>
  <c r="AC27" i="4"/>
  <c r="AC57" i="4"/>
  <c r="Z58" i="4"/>
  <c r="J4" i="12" s="1"/>
  <c r="K4" i="12" s="1"/>
  <c r="Y31" i="4"/>
  <c r="E10" i="2" s="1"/>
  <c r="E10" i="5" s="1"/>
  <c r="Y58" i="4"/>
  <c r="H4" i="12" s="1"/>
  <c r="I4" i="12" s="1"/>
  <c r="AC55" i="4"/>
  <c r="Y40" i="4"/>
  <c r="E11" i="2" s="1"/>
  <c r="E11" i="5" s="1"/>
  <c r="Z22" i="4"/>
  <c r="F9" i="2" s="1"/>
  <c r="F9" i="5" s="1"/>
  <c r="Z40" i="4"/>
  <c r="F11" i="2" s="1"/>
  <c r="F11" i="5" s="1"/>
  <c r="AC45" i="4"/>
  <c r="Z49" i="4"/>
  <c r="F12" i="2" s="1"/>
  <c r="F12" i="5" s="1"/>
  <c r="F5" i="11"/>
  <c r="G5" i="11" s="1"/>
  <c r="AA31" i="4"/>
  <c r="G10" i="2" s="1"/>
  <c r="G10" i="5" s="1"/>
  <c r="AB22" i="4"/>
  <c r="H9" i="2" s="1"/>
  <c r="H9" i="5" s="1"/>
  <c r="AB40" i="4"/>
  <c r="H11" i="2" s="1"/>
  <c r="H11" i="5" s="1"/>
  <c r="AC53" i="4"/>
  <c r="X58" i="4"/>
  <c r="F4" i="12" s="1"/>
  <c r="AC21" i="4"/>
  <c r="AC39" i="4"/>
  <c r="C9" i="2" l="1"/>
  <c r="C9" i="5" s="1"/>
  <c r="G4" i="11"/>
  <c r="C10" i="5"/>
  <c r="G6" i="11"/>
  <c r="F7" i="11"/>
  <c r="G7" i="11" s="1"/>
  <c r="G4" i="12"/>
  <c r="P4" i="12"/>
  <c r="Q4" i="12" s="1"/>
  <c r="F4" i="9"/>
  <c r="F5" i="9" s="1"/>
  <c r="F6" i="9"/>
  <c r="G6" i="9"/>
  <c r="G4" i="9"/>
  <c r="G5" i="9" s="1"/>
  <c r="E6" i="9"/>
  <c r="E4" i="9"/>
  <c r="E5" i="9" s="1"/>
  <c r="D4" i="9"/>
  <c r="D5" i="9" s="1"/>
  <c r="D6" i="9"/>
  <c r="C11" i="2"/>
  <c r="C11" i="5" s="1"/>
  <c r="H13" i="5"/>
  <c r="E13" i="5"/>
  <c r="G13" i="5"/>
  <c r="F13" i="5"/>
  <c r="E13" i="2"/>
  <c r="H13" i="2"/>
  <c r="AC40" i="4"/>
  <c r="D11" i="2"/>
  <c r="C12" i="2"/>
  <c r="D10" i="2"/>
  <c r="AC31" i="4"/>
  <c r="D9" i="2"/>
  <c r="AC22" i="4"/>
  <c r="AC58" i="4"/>
  <c r="F13" i="2"/>
  <c r="G13" i="2"/>
  <c r="AC49" i="4"/>
  <c r="D12" i="2"/>
  <c r="D12" i="5" s="1"/>
  <c r="F8" i="11" l="1"/>
  <c r="G8" i="11" s="1"/>
  <c r="D13" i="2"/>
  <c r="D9" i="5"/>
  <c r="I10" i="2"/>
  <c r="D10" i="5"/>
  <c r="I10" i="5" s="1"/>
  <c r="C12" i="5"/>
  <c r="I11" i="2"/>
  <c r="D11" i="5"/>
  <c r="I12" i="2"/>
  <c r="I9" i="2"/>
  <c r="I13" i="2" l="1"/>
  <c r="I11" i="5"/>
  <c r="C6" i="9"/>
  <c r="H6" i="9" s="1"/>
  <c r="C4" i="9"/>
  <c r="C6" i="7"/>
  <c r="I12" i="5"/>
  <c r="D13" i="5"/>
  <c r="I9" i="5"/>
  <c r="C5" i="7" l="1"/>
  <c r="C8" i="7" s="1"/>
  <c r="C5" i="9"/>
  <c r="H5" i="9" s="1"/>
  <c r="H4" i="9"/>
  <c r="I13" i="5"/>
  <c r="C9" i="7" l="1"/>
  <c r="C10" i="7" s="1"/>
  <c r="C12" i="7" s="1"/>
  <c r="C11" i="7" l="1"/>
  <c r="C11" i="9" s="1"/>
  <c r="C41" i="8"/>
  <c r="C13" i="9" l="1"/>
  <c r="D11" i="9" s="1"/>
  <c r="E8" i="9"/>
  <c r="E9" i="9" s="1"/>
  <c r="E4" i="8" s="1"/>
  <c r="C8" i="9"/>
  <c r="F8" i="9"/>
  <c r="F9" i="9" s="1"/>
  <c r="F4" i="8" s="1"/>
  <c r="D8" i="9"/>
  <c r="D9" i="9" s="1"/>
  <c r="D4" i="8" s="1"/>
  <c r="G8" i="9"/>
  <c r="G9" i="9" s="1"/>
  <c r="G4" i="8" s="1"/>
  <c r="H8" i="9" l="1"/>
  <c r="H9" i="9" s="1"/>
  <c r="C9" i="9"/>
  <c r="C4" i="8" s="1"/>
  <c r="E11" i="9"/>
  <c r="D5" i="8"/>
  <c r="D6" i="8" s="1"/>
  <c r="D7" i="8" s="1"/>
  <c r="C5" i="8" l="1"/>
  <c r="C6" i="8" s="1"/>
  <c r="D8" i="8"/>
  <c r="D9" i="8"/>
  <c r="D10" i="8"/>
  <c r="D11" i="8" s="1"/>
  <c r="F11" i="9"/>
  <c r="E5" i="8"/>
  <c r="E6" i="8" s="1"/>
  <c r="E7" i="8" s="1"/>
  <c r="H4" i="8"/>
  <c r="J4" i="8"/>
  <c r="D12" i="8" l="1"/>
  <c r="D13" i="8" s="1"/>
  <c r="F5" i="8"/>
  <c r="F6" i="8" s="1"/>
  <c r="F7" i="8" s="1"/>
  <c r="G11" i="9"/>
  <c r="G5" i="8" s="1"/>
  <c r="E10" i="8"/>
  <c r="E11" i="8" s="1"/>
  <c r="E9" i="8"/>
  <c r="E8" i="8"/>
  <c r="E12" i="8" l="1"/>
  <c r="E13" i="8" s="1"/>
  <c r="H11" i="9"/>
  <c r="G6" i="8"/>
  <c r="H6" i="8" s="1"/>
  <c r="J5" i="8"/>
  <c r="F10" i="8"/>
  <c r="F11" i="8" s="1"/>
  <c r="F9" i="8"/>
  <c r="F8" i="8"/>
  <c r="H5" i="8"/>
  <c r="C7" i="8"/>
  <c r="F12" i="8" l="1"/>
  <c r="F13" i="8" s="1"/>
  <c r="C8" i="8"/>
  <c r="C9" i="8"/>
  <c r="C10" i="8"/>
  <c r="G7" i="8"/>
  <c r="J6" i="8"/>
  <c r="J7" i="8" l="1"/>
  <c r="G8" i="8"/>
  <c r="J8" i="8" s="1"/>
  <c r="G10" i="8"/>
  <c r="H10" i="8" s="1"/>
  <c r="G9" i="8"/>
  <c r="J9" i="8" s="1"/>
  <c r="H7" i="8"/>
  <c r="H8" i="8" s="1"/>
  <c r="C11" i="8"/>
  <c r="C12" i="8" l="1"/>
  <c r="C14" i="8" s="1"/>
  <c r="J10" i="8"/>
  <c r="G11" i="8"/>
  <c r="H9" i="8"/>
  <c r="D14" i="8" l="1"/>
  <c r="E14" i="8" s="1"/>
  <c r="F14" i="8" s="1"/>
  <c r="J11" i="8"/>
  <c r="G12" i="8"/>
  <c r="C13" i="8"/>
  <c r="H11" i="8"/>
  <c r="G14" i="8" l="1"/>
  <c r="H12" i="8"/>
  <c r="C40" i="8" s="1"/>
  <c r="J12" i="8"/>
  <c r="G13" i="8"/>
  <c r="H13" i="8" l="1"/>
  <c r="C42" i="8"/>
  <c r="C43" i="8" s="1"/>
</calcChain>
</file>

<file path=xl/sharedStrings.xml><?xml version="1.0" encoding="utf-8"?>
<sst xmlns="http://schemas.openxmlformats.org/spreadsheetml/2006/main" count="537" uniqueCount="152">
  <si>
    <t>Fase 1: Sviluppo</t>
  </si>
  <si>
    <t>Fase 2: Esercizio</t>
  </si>
  <si>
    <t>Anno 0</t>
  </si>
  <si>
    <t>Anno 1</t>
  </si>
  <si>
    <t>Anno 2</t>
  </si>
  <si>
    <t>Anno 3</t>
  </si>
  <si>
    <t>Anno 4</t>
  </si>
  <si>
    <t>Anno 5</t>
  </si>
  <si>
    <t>Figura Professionale</t>
  </si>
  <si>
    <t>TOTALE</t>
  </si>
  <si>
    <t>Totale A/P</t>
  </si>
  <si>
    <t>SA</t>
  </si>
  <si>
    <t>PM</t>
  </si>
  <si>
    <t>TOTALE A/P</t>
  </si>
  <si>
    <t>NUMERO ORE</t>
  </si>
  <si>
    <t>Numero Ore per Anno</t>
  </si>
  <si>
    <t>TOTALE O/P</t>
  </si>
  <si>
    <t>Totale O/P</t>
  </si>
  <si>
    <t>A Organizzazione Progetto</t>
  </si>
  <si>
    <r>
      <t xml:space="preserve">A1 </t>
    </r>
    <r>
      <rPr>
        <b/>
        <i/>
        <sz val="12"/>
        <color theme="1"/>
        <rFont val="Calibri"/>
        <family val="2"/>
        <scheme val="minor"/>
      </rPr>
      <t>Set-Up del Progetto</t>
    </r>
  </si>
  <si>
    <r>
      <t>A2</t>
    </r>
    <r>
      <rPr>
        <b/>
        <i/>
        <sz val="12"/>
        <color theme="1"/>
        <rFont val="Calibri"/>
        <family val="2"/>
        <scheme val="minor"/>
      </rPr>
      <t xml:space="preserve"> Gruppi e Ambienti di sviluppo </t>
    </r>
  </si>
  <si>
    <t>G Integrazione/Testing complessivo e Deployment</t>
  </si>
  <si>
    <r>
      <t xml:space="preserve">G1 </t>
    </r>
    <r>
      <rPr>
        <b/>
        <i/>
        <sz val="12"/>
        <color theme="1"/>
        <rFont val="Calibri"/>
        <family val="2"/>
        <scheme val="minor"/>
      </rPr>
      <t xml:space="preserve">Integrazione/Testing complessivo </t>
    </r>
  </si>
  <si>
    <r>
      <t xml:space="preserve">G2 </t>
    </r>
    <r>
      <rPr>
        <b/>
        <i/>
        <sz val="12"/>
        <color theme="1"/>
        <rFont val="Calibri"/>
        <family val="2"/>
        <scheme val="minor"/>
      </rPr>
      <t>Deployment</t>
    </r>
  </si>
  <si>
    <t xml:space="preserve"> </t>
  </si>
  <si>
    <t>O/P</t>
  </si>
  <si>
    <t>OP Anno</t>
  </si>
  <si>
    <t>OP Mese</t>
  </si>
  <si>
    <t xml:space="preserve"> 1 PM</t>
  </si>
  <si>
    <t>1 SA</t>
  </si>
  <si>
    <t>4 FSD</t>
  </si>
  <si>
    <t>ANNO 1</t>
  </si>
  <si>
    <t>ANNO 2</t>
  </si>
  <si>
    <t>ANNO 3</t>
  </si>
  <si>
    <t>ANNO 4</t>
  </si>
  <si>
    <t>ANNO 5</t>
  </si>
  <si>
    <t>B. Manutenzione Ordinaria</t>
  </si>
  <si>
    <t>C. Manutenzione Evolutiva</t>
  </si>
  <si>
    <t>SEM 1</t>
  </si>
  <si>
    <t>SEM 2</t>
  </si>
  <si>
    <t>D. Assistenza Intermediari</t>
  </si>
  <si>
    <t>A. Promozione Piattaforma e Assistenza Commerciale</t>
  </si>
  <si>
    <t>E. Analisi di Dati di Esercizio della piattaforma</t>
  </si>
  <si>
    <t>TASK / SUBTASK</t>
  </si>
  <si>
    <t>1 PM</t>
  </si>
  <si>
    <t>OP TRIMESTRE</t>
  </si>
  <si>
    <t>2 FSD</t>
  </si>
  <si>
    <t>4 FSDJ</t>
  </si>
  <si>
    <t>FSD</t>
  </si>
  <si>
    <t>FSDJ</t>
  </si>
  <si>
    <t xml:space="preserve">NUMERO PERSONE </t>
  </si>
  <si>
    <t>ANNI PERSONA (A/P)</t>
  </si>
  <si>
    <t>A RAL (Retribuzione Annua Lorda)</t>
  </si>
  <si>
    <t>B TFR (Trattamento di fine rapporto)</t>
  </si>
  <si>
    <t>C Oneri a carico azienda (INPS e INAIL)</t>
  </si>
  <si>
    <t>D COSTO ANNUO AZIENDA = A+B+C</t>
  </si>
  <si>
    <t>CALCOLO COSTO LORDO AZIENDALE PERSONALE</t>
  </si>
  <si>
    <t>Altri Costi</t>
  </si>
  <si>
    <t>COSTO</t>
  </si>
  <si>
    <t>SG (20% P)</t>
  </si>
  <si>
    <t>P: Personale</t>
  </si>
  <si>
    <t>del costo del personale</t>
  </si>
  <si>
    <t xml:space="preserve">CLOUD COMPUTING </t>
  </si>
  <si>
    <t>COSTO ANNUO PER PERSONA</t>
  </si>
  <si>
    <t>Esperti Dominio</t>
  </si>
  <si>
    <t>FASE 1</t>
  </si>
  <si>
    <t>COSTO TOTALE</t>
  </si>
  <si>
    <t xml:space="preserve">SPESE GENERALI </t>
  </si>
  <si>
    <t>del finanziato</t>
  </si>
  <si>
    <t>COSTI FASE 2</t>
  </si>
  <si>
    <t>RICAVI FASE 2</t>
  </si>
  <si>
    <t>Abbonamento Annuo</t>
  </si>
  <si>
    <t>Totale Abbonamenti</t>
  </si>
  <si>
    <t>Numero Verticalizzazioni</t>
  </si>
  <si>
    <t>Totale Verticalizzazioni</t>
  </si>
  <si>
    <t>A - RICAVI</t>
  </si>
  <si>
    <t>B - COSTI</t>
  </si>
  <si>
    <t>Cloud per Esercizio</t>
  </si>
  <si>
    <t>Ammortamento Piattaforma</t>
  </si>
  <si>
    <t>ONERI FINANZIARI PIATT.</t>
  </si>
  <si>
    <t>% Risultato/Ricavi (R1/A)</t>
  </si>
  <si>
    <t>% Risultato/Ricavi (R2/A)</t>
  </si>
  <si>
    <t>RC - Risultato Netto Cumulato</t>
  </si>
  <si>
    <t>Capitale Investito</t>
  </si>
  <si>
    <t>ROI in 5 anni</t>
  </si>
  <si>
    <t>RICAVO TOTALE</t>
  </si>
  <si>
    <t>BC - COSTI TOTALI</t>
  </si>
  <si>
    <t>20€ x mese + 2€ x numero annuo di ore utilizzo</t>
  </si>
  <si>
    <t>Numero Intermediari</t>
  </si>
  <si>
    <t>Decremento Annuo Oneri</t>
  </si>
  <si>
    <t>per anno zero</t>
  </si>
  <si>
    <t>per anni 1-5</t>
  </si>
  <si>
    <t>P: Costi Personale</t>
  </si>
  <si>
    <t>Costi di Cloud</t>
  </si>
  <si>
    <t>C :COSTO TOTALE</t>
  </si>
  <si>
    <t>CO: COSTO CON ONERI C+O</t>
  </si>
  <si>
    <t>O: ONERI FINANZIARI PER C</t>
  </si>
  <si>
    <t>OF2: ONERI FINANZIARI PER CO</t>
  </si>
  <si>
    <t xml:space="preserve">RATA AMMORTAMENTO </t>
  </si>
  <si>
    <t>per anno 1</t>
  </si>
  <si>
    <t>% Tassa IRES</t>
  </si>
  <si>
    <t>% IRAP Calabria</t>
  </si>
  <si>
    <t>T1 - Tasse IRES 24% di R1</t>
  </si>
  <si>
    <t>R2 - Risultato Netto R1-T1-T2</t>
  </si>
  <si>
    <t>IR: Imponibile IRAP</t>
  </si>
  <si>
    <t>T2 - Tasse IRAP 4,82% di IR</t>
  </si>
  <si>
    <t>Risultato Netto Cumulato</t>
  </si>
  <si>
    <t>Gruppo</t>
  </si>
  <si>
    <t>Num Persone</t>
  </si>
  <si>
    <t>Tipologia</t>
  </si>
  <si>
    <t>Tasks</t>
  </si>
  <si>
    <t>A/P</t>
  </si>
  <si>
    <t>OP 15 giorni</t>
  </si>
  <si>
    <r>
      <t xml:space="preserve">A </t>
    </r>
    <r>
      <rPr>
        <i/>
        <sz val="12"/>
        <color theme="1"/>
        <rFont val="Calibri"/>
        <family val="2"/>
        <scheme val="minor"/>
      </rPr>
      <t>Organizzazione Progetto</t>
    </r>
    <r>
      <rPr>
        <sz val="12"/>
        <color theme="1"/>
        <rFont val="Calibri"/>
        <family val="2"/>
        <scheme val="minor"/>
      </rPr>
      <t xml:space="preserve">
G </t>
    </r>
    <r>
      <rPr>
        <i/>
        <sz val="12"/>
        <color theme="1"/>
        <rFont val="Calibri"/>
        <family val="2"/>
        <scheme val="minor"/>
      </rPr>
      <t>Integrazione/Testing complessivo e Deployment</t>
    </r>
  </si>
  <si>
    <t>0,5 PM
0,5 SA
2 FSD
4 FSDJ</t>
  </si>
  <si>
    <r>
      <t xml:space="preserve">A. </t>
    </r>
    <r>
      <rPr>
        <b/>
        <i/>
        <sz val="12"/>
        <color theme="1"/>
        <rFont val="Calibri"/>
        <family val="2"/>
        <scheme val="minor"/>
      </rPr>
      <t xml:space="preserve">Promozione Piattaforma e Assistenza Commerciale
</t>
    </r>
    <r>
      <rPr>
        <b/>
        <sz val="12"/>
        <color theme="1"/>
        <rFont val="Calibri"/>
        <family val="2"/>
        <scheme val="minor"/>
      </rPr>
      <t xml:space="preserve">B. </t>
    </r>
    <r>
      <rPr>
        <b/>
        <i/>
        <sz val="12"/>
        <color theme="1"/>
        <rFont val="Calibri"/>
        <family val="2"/>
        <scheme val="minor"/>
      </rPr>
      <t xml:space="preserve">Manutenzione Ordinaria
</t>
    </r>
    <r>
      <rPr>
        <b/>
        <sz val="12"/>
        <color theme="1"/>
        <rFont val="Calibri"/>
        <family val="2"/>
        <scheme val="minor"/>
      </rPr>
      <t xml:space="preserve">C. </t>
    </r>
    <r>
      <rPr>
        <b/>
        <i/>
        <sz val="12"/>
        <color theme="1"/>
        <rFont val="Calibri"/>
        <family val="2"/>
        <scheme val="minor"/>
      </rPr>
      <t xml:space="preserve">Manutenzione Evolutiva
</t>
    </r>
    <r>
      <rPr>
        <b/>
        <sz val="12"/>
        <color theme="1"/>
        <rFont val="Calibri"/>
        <family val="2"/>
        <scheme val="minor"/>
      </rPr>
      <t xml:space="preserve">D. </t>
    </r>
    <r>
      <rPr>
        <b/>
        <i/>
        <sz val="12"/>
        <color theme="1"/>
        <rFont val="Calibri"/>
        <family val="2"/>
        <scheme val="minor"/>
      </rPr>
      <t xml:space="preserve">Assistenza Intermediari
</t>
    </r>
    <r>
      <rPr>
        <b/>
        <sz val="12"/>
        <color theme="1"/>
        <rFont val="Calibri"/>
        <family val="2"/>
        <scheme val="minor"/>
      </rPr>
      <t xml:space="preserve">E. </t>
    </r>
    <r>
      <rPr>
        <b/>
        <i/>
        <sz val="12"/>
        <color theme="1"/>
        <rFont val="Calibri"/>
        <family val="2"/>
        <scheme val="minor"/>
      </rPr>
      <t>Analisi di Dati di Esercizio della piattaforma</t>
    </r>
  </si>
  <si>
    <t>R1 - Risultato Lordo A-BC</t>
  </si>
  <si>
    <t>Prezzo Verticalizzazione</t>
  </si>
  <si>
    <t>Annuo:(ROI-100%)/5</t>
  </si>
  <si>
    <t xml:space="preserve">ONERI FINANZIARI </t>
  </si>
  <si>
    <t>C - ONERI FINANZIARI PIATT</t>
  </si>
  <si>
    <t>B Sottosistema Back-End</t>
  </si>
  <si>
    <r>
      <t xml:space="preserve">B1 </t>
    </r>
    <r>
      <rPr>
        <b/>
        <i/>
        <sz val="12"/>
        <color theme="1"/>
        <rFont val="Calibri"/>
        <family val="2"/>
        <scheme val="minor"/>
      </rPr>
      <t>Gestione dei Database</t>
    </r>
  </si>
  <si>
    <t>B2 Modulo Intelligenza Artificiale</t>
  </si>
  <si>
    <t>B3 Modulo Gestione Transazioni</t>
  </si>
  <si>
    <t>D1 Modulo di Accesso</t>
  </si>
  <si>
    <t>E1 Modulo di Accesso</t>
  </si>
  <si>
    <r>
      <t xml:space="preserve">B </t>
    </r>
    <r>
      <rPr>
        <i/>
        <sz val="12"/>
        <color theme="1"/>
        <rFont val="Calibri"/>
        <family val="2"/>
        <scheme val="minor"/>
      </rPr>
      <t>Sottosistema Back-End</t>
    </r>
  </si>
  <si>
    <t>C Sottosistema Produttore</t>
  </si>
  <si>
    <t>C1 Modulo di Accesso</t>
  </si>
  <si>
    <t>C2 Modulo Registrazione Prodotti</t>
  </si>
  <si>
    <t>C3 Modulo Gestione Dati Prodotti</t>
  </si>
  <si>
    <t>D Sottosistema Riparazioni e Certificazioni</t>
  </si>
  <si>
    <t>D2 Modulo Riparazioni</t>
  </si>
  <si>
    <t>D3 Modulo Certificazioni</t>
  </si>
  <si>
    <t xml:space="preserve">E Sottosistema Front-End </t>
  </si>
  <si>
    <t>E2 Modulo Acquisto</t>
  </si>
  <si>
    <t>E3 Modulo Vendita</t>
  </si>
  <si>
    <t>F. Sottosistema Intermediario</t>
  </si>
  <si>
    <t>F1 Modulo Gestione Blockchain</t>
  </si>
  <si>
    <t>F2 Modulo Gestione Feedback</t>
  </si>
  <si>
    <t>B5 Modulo Raccolta Feedback</t>
  </si>
  <si>
    <t xml:space="preserve"> 1 SA</t>
  </si>
  <si>
    <t>1 PM
1 SA
4 FSD
8 FSDJ</t>
  </si>
  <si>
    <t>8 FSDJ</t>
  </si>
  <si>
    <t>0,40 PM
0,50 SA
2 FSD
2 FSDJ</t>
  </si>
  <si>
    <t>0,3 PM
0,25 SA
1 FSD
3 FSDJ</t>
  </si>
  <si>
    <r>
      <t xml:space="preserve">C </t>
    </r>
    <r>
      <rPr>
        <i/>
        <sz val="12"/>
        <color theme="1"/>
        <rFont val="Calibri"/>
        <family val="2"/>
        <scheme val="minor"/>
      </rPr>
      <t>Sottosistema Produttore</t>
    </r>
    <r>
      <rPr>
        <sz val="12"/>
        <color theme="1"/>
        <rFont val="Calibri"/>
        <family val="2"/>
        <scheme val="minor"/>
      </rPr>
      <t xml:space="preserve">
D </t>
    </r>
    <r>
      <rPr>
        <i/>
        <sz val="12"/>
        <color theme="1"/>
        <rFont val="Calibri"/>
        <family val="2"/>
        <scheme val="minor"/>
      </rPr>
      <t>Sottosistema Riparazioni e Certificazioni</t>
    </r>
  </si>
  <si>
    <r>
      <t xml:space="preserve">E </t>
    </r>
    <r>
      <rPr>
        <i/>
        <sz val="12"/>
        <color theme="1"/>
        <rFont val="Calibri"/>
        <family val="2"/>
        <scheme val="minor"/>
      </rPr>
      <t>Sottosistema Front-End 
F Sottosistema Intermediario</t>
    </r>
  </si>
  <si>
    <r>
      <t xml:space="preserve">A </t>
    </r>
    <r>
      <rPr>
        <b/>
        <i/>
        <sz val="12"/>
        <color theme="1"/>
        <rFont val="Calibri"/>
        <family val="2"/>
        <scheme val="minor"/>
      </rPr>
      <t xml:space="preserve">Organizzazione Progetto
</t>
    </r>
    <r>
      <rPr>
        <b/>
        <sz val="12"/>
        <color theme="1"/>
        <rFont val="Calibri"/>
        <family val="2"/>
        <scheme val="minor"/>
      </rPr>
      <t xml:space="preserve">B </t>
    </r>
    <r>
      <rPr>
        <b/>
        <i/>
        <sz val="12"/>
        <color theme="1"/>
        <rFont val="Calibri"/>
        <family val="2"/>
        <scheme val="minor"/>
      </rPr>
      <t>Sottosistema Back-End
C Sottosistema Produttore
D Sottosistema Riparazioni e Certificazioni
E Sottosistema Front-End
F Sottosistema Intermediario</t>
    </r>
    <r>
      <rPr>
        <b/>
        <sz val="12"/>
        <color theme="1"/>
        <rFont val="Calibri"/>
        <family val="2"/>
        <scheme val="minor"/>
      </rPr>
      <t xml:space="preserve">
G </t>
    </r>
    <r>
      <rPr>
        <b/>
        <i/>
        <sz val="12"/>
        <color theme="1"/>
        <rFont val="Calibri"/>
        <family val="2"/>
        <scheme val="minor"/>
      </rPr>
      <t>Integrazione/Testing complessivo e Deployment</t>
    </r>
  </si>
  <si>
    <t>B4 Modulo Operazioni Applicativi</t>
  </si>
  <si>
    <t>C4 Modulo Invio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</si>
</sst>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_ ;\-#,##0\ "/>
    <numFmt numFmtId="166" formatCode="#,##0.0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theme="1"/>
      <name val="Cambria"/>
      <family val="1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Dashed">
        <color indexed="64"/>
      </right>
      <top style="thick">
        <color indexed="64"/>
      </top>
      <bottom/>
      <diagonal/>
    </border>
    <border>
      <left style="mediumDashed">
        <color indexed="64"/>
      </left>
      <right style="medium">
        <color indexed="64"/>
      </right>
      <top style="thick">
        <color indexed="64"/>
      </top>
      <bottom/>
      <diagonal/>
    </border>
    <border>
      <left style="medium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thick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ck">
        <color indexed="64"/>
      </bottom>
      <diagonal/>
    </border>
    <border>
      <left style="mediumDashed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slantDashDot">
        <color indexed="64"/>
      </bottom>
      <diagonal/>
    </border>
    <border>
      <left/>
      <right/>
      <top style="thick">
        <color indexed="64"/>
      </top>
      <bottom style="slantDashDot">
        <color indexed="64"/>
      </bottom>
      <diagonal/>
    </border>
    <border>
      <left/>
      <right style="thick">
        <color indexed="64"/>
      </right>
      <top style="thick">
        <color indexed="64"/>
      </top>
      <bottom style="slantDashDot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ed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/>
    <xf numFmtId="0" fontId="6" fillId="0" borderId="17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18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0" fillId="0" borderId="0" xfId="0" applyAlignment="1">
      <alignment vertical="center" wrapText="1"/>
    </xf>
    <xf numFmtId="0" fontId="2" fillId="0" borderId="9" xfId="0" applyFont="1" applyBorder="1" applyAlignment="1">
      <alignment horizontal="center"/>
    </xf>
    <xf numFmtId="0" fontId="2" fillId="0" borderId="13" xfId="0" applyFont="1" applyBorder="1"/>
    <xf numFmtId="3" fontId="0" fillId="0" borderId="0" xfId="0" applyNumberFormat="1"/>
    <xf numFmtId="3" fontId="2" fillId="0" borderId="21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3" fontId="0" fillId="0" borderId="22" xfId="0" applyNumberFormat="1" applyBorder="1"/>
    <xf numFmtId="3" fontId="0" fillId="0" borderId="6" xfId="1" applyNumberFormat="1" applyFont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" fontId="0" fillId="0" borderId="7" xfId="1" applyNumberFormat="1" applyFon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0" borderId="24" xfId="1" applyNumberFormat="1" applyFont="1" applyBorder="1" applyAlignment="1">
      <alignment horizontal="center"/>
    </xf>
    <xf numFmtId="3" fontId="0" fillId="0" borderId="25" xfId="1" applyNumberFormat="1" applyFont="1" applyBorder="1" applyAlignment="1">
      <alignment horizontal="center"/>
    </xf>
    <xf numFmtId="3" fontId="0" fillId="0" borderId="26" xfId="1" applyNumberFormat="1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7" borderId="29" xfId="0" applyFill="1" applyBorder="1"/>
    <xf numFmtId="0" fontId="0" fillId="7" borderId="30" xfId="0" applyFill="1" applyBorder="1"/>
    <xf numFmtId="0" fontId="0" fillId="8" borderId="29" xfId="0" applyFill="1" applyBorder="1"/>
    <xf numFmtId="0" fontId="0" fillId="8" borderId="30" xfId="0" applyFill="1" applyBorder="1"/>
    <xf numFmtId="0" fontId="0" fillId="0" borderId="33" xfId="0" applyBorder="1"/>
    <xf numFmtId="0" fontId="0" fillId="0" borderId="34" xfId="0" applyBorder="1"/>
    <xf numFmtId="0" fontId="2" fillId="3" borderId="35" xfId="0" applyFont="1" applyFill="1" applyBorder="1"/>
    <xf numFmtId="0" fontId="0" fillId="3" borderId="36" xfId="0" applyFill="1" applyBorder="1"/>
    <xf numFmtId="0" fontId="0" fillId="3" borderId="37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2" fillId="7" borderId="39" xfId="0" applyFont="1" applyFill="1" applyBorder="1"/>
    <xf numFmtId="0" fontId="0" fillId="0" borderId="40" xfId="0" applyBorder="1"/>
    <xf numFmtId="0" fontId="2" fillId="7" borderId="41" xfId="0" applyFont="1" applyFill="1" applyBorder="1"/>
    <xf numFmtId="0" fontId="0" fillId="0" borderId="42" xfId="0" applyBorder="1"/>
    <xf numFmtId="0" fontId="0" fillId="0" borderId="43" xfId="0" applyBorder="1"/>
    <xf numFmtId="0" fontId="0" fillId="7" borderId="42" xfId="0" applyFill="1" applyBorder="1"/>
    <xf numFmtId="0" fontId="0" fillId="7" borderId="43" xfId="0" applyFill="1" applyBorder="1"/>
    <xf numFmtId="0" fontId="0" fillId="0" borderId="44" xfId="0" applyBorder="1"/>
    <xf numFmtId="0" fontId="2" fillId="0" borderId="45" xfId="0" applyFont="1" applyBorder="1" applyAlignment="1">
      <alignment horizontal="center"/>
    </xf>
    <xf numFmtId="0" fontId="2" fillId="4" borderId="35" xfId="0" applyFont="1" applyFill="1" applyBorder="1"/>
    <xf numFmtId="0" fontId="0" fillId="4" borderId="36" xfId="0" applyFill="1" applyBorder="1"/>
    <xf numFmtId="0" fontId="0" fillId="4" borderId="37" xfId="0" applyFill="1" applyBorder="1"/>
    <xf numFmtId="0" fontId="2" fillId="8" borderId="39" xfId="0" applyFont="1" applyFill="1" applyBorder="1"/>
    <xf numFmtId="0" fontId="2" fillId="8" borderId="41" xfId="0" applyFont="1" applyFill="1" applyBorder="1"/>
    <xf numFmtId="0" fontId="0" fillId="8" borderId="42" xfId="0" applyFill="1" applyBorder="1"/>
    <xf numFmtId="0" fontId="0" fillId="8" borderId="43" xfId="0" applyFill="1" applyBorder="1"/>
    <xf numFmtId="0" fontId="0" fillId="5" borderId="36" xfId="0" applyFill="1" applyBorder="1"/>
    <xf numFmtId="0" fontId="0" fillId="5" borderId="37" xfId="0" applyFill="1" applyBorder="1"/>
    <xf numFmtId="0" fontId="0" fillId="9" borderId="42" xfId="0" applyFill="1" applyBorder="1"/>
    <xf numFmtId="0" fontId="0" fillId="9" borderId="43" xfId="0" applyFill="1" applyBorder="1"/>
    <xf numFmtId="0" fontId="0" fillId="0" borderId="48" xfId="0" applyBorder="1"/>
    <xf numFmtId="0" fontId="0" fillId="0" borderId="49" xfId="0" applyBorder="1"/>
    <xf numFmtId="0" fontId="0" fillId="3" borderId="38" xfId="0" applyFill="1" applyBorder="1"/>
    <xf numFmtId="0" fontId="0" fillId="7" borderId="44" xfId="0" applyFill="1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5" xfId="0" applyBorder="1"/>
    <xf numFmtId="0" fontId="0" fillId="9" borderId="33" xfId="0" applyFill="1" applyBorder="1"/>
    <xf numFmtId="0" fontId="8" fillId="9" borderId="56" xfId="0" applyFont="1" applyFill="1" applyBorder="1"/>
    <xf numFmtId="0" fontId="0" fillId="0" borderId="57" xfId="0" applyBorder="1"/>
    <xf numFmtId="0" fontId="8" fillId="9" borderId="58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0" borderId="61" xfId="0" applyBorder="1"/>
    <xf numFmtId="0" fontId="2" fillId="0" borderId="15" xfId="0" applyFont="1" applyBorder="1"/>
    <xf numFmtId="2" fontId="0" fillId="3" borderId="36" xfId="0" applyNumberFormat="1" applyFill="1" applyBorder="1"/>
    <xf numFmtId="2" fontId="0" fillId="3" borderId="37" xfId="0" applyNumberFormat="1" applyFill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4" borderId="36" xfId="0" applyNumberFormat="1" applyFill="1" applyBorder="1"/>
    <xf numFmtId="2" fontId="0" fillId="4" borderId="37" xfId="0" applyNumberFormat="1" applyFill="1" applyBorder="1"/>
    <xf numFmtId="2" fontId="0" fillId="5" borderId="36" xfId="0" applyNumberFormat="1" applyFill="1" applyBorder="1"/>
    <xf numFmtId="2" fontId="0" fillId="5" borderId="37" xfId="0" applyNumberFormat="1" applyFill="1" applyBorder="1"/>
    <xf numFmtId="2" fontId="0" fillId="3" borderId="38" xfId="0" applyNumberFormat="1" applyFill="1" applyBorder="1"/>
    <xf numFmtId="0" fontId="2" fillId="0" borderId="67" xfId="0" applyFont="1" applyBorder="1"/>
    <xf numFmtId="2" fontId="9" fillId="0" borderId="68" xfId="0" applyNumberFormat="1" applyFont="1" applyBorder="1"/>
    <xf numFmtId="2" fontId="9" fillId="0" borderId="69" xfId="0" applyNumberFormat="1" applyFont="1" applyBorder="1"/>
    <xf numFmtId="2" fontId="9" fillId="0" borderId="70" xfId="0" applyNumberFormat="1" applyFont="1" applyBorder="1"/>
    <xf numFmtId="0" fontId="2" fillId="0" borderId="45" xfId="0" quotePrefix="1" applyFont="1" applyBorder="1" applyAlignment="1">
      <alignment horizontal="center"/>
    </xf>
    <xf numFmtId="4" fontId="0" fillId="0" borderId="0" xfId="0" applyNumberFormat="1"/>
    <xf numFmtId="4" fontId="2" fillId="0" borderId="32" xfId="0" applyNumberFormat="1" applyFont="1" applyBorder="1" applyAlignment="1">
      <alignment horizontal="center"/>
    </xf>
    <xf numFmtId="4" fontId="2" fillId="0" borderId="64" xfId="0" applyNumberFormat="1" applyFont="1" applyBorder="1"/>
    <xf numFmtId="4" fontId="3" fillId="0" borderId="65" xfId="0" applyNumberFormat="1" applyFont="1" applyBorder="1"/>
    <xf numFmtId="4" fontId="3" fillId="0" borderId="66" xfId="0" applyNumberFormat="1" applyFont="1" applyBorder="1"/>
    <xf numFmtId="4" fontId="2" fillId="0" borderId="32" xfId="0" applyNumberFormat="1" applyFont="1" applyBorder="1"/>
    <xf numFmtId="0" fontId="2" fillId="0" borderId="67" xfId="0" applyFont="1" applyBorder="1" applyAlignment="1">
      <alignment horizontal="center"/>
    </xf>
    <xf numFmtId="0" fontId="2" fillId="3" borderId="75" xfId="0" applyFont="1" applyFill="1" applyBorder="1"/>
    <xf numFmtId="0" fontId="2" fillId="4" borderId="75" xfId="0" applyFont="1" applyFill="1" applyBorder="1"/>
    <xf numFmtId="0" fontId="2" fillId="5" borderId="75" xfId="0" applyFont="1" applyFill="1" applyBorder="1"/>
    <xf numFmtId="0" fontId="0" fillId="4" borderId="76" xfId="0" applyFill="1" applyBorder="1"/>
    <xf numFmtId="0" fontId="0" fillId="5" borderId="76" xfId="0" applyFill="1" applyBorder="1"/>
    <xf numFmtId="0" fontId="0" fillId="3" borderId="78" xfId="0" applyFill="1" applyBorder="1"/>
    <xf numFmtId="0" fontId="0" fillId="0" borderId="78" xfId="0" applyBorder="1"/>
    <xf numFmtId="0" fontId="0" fillId="4" borderId="78" xfId="0" applyFill="1" applyBorder="1"/>
    <xf numFmtId="0" fontId="0" fillId="4" borderId="38" xfId="0" applyFill="1" applyBorder="1"/>
    <xf numFmtId="0" fontId="0" fillId="5" borderId="78" xfId="0" applyFill="1" applyBorder="1"/>
    <xf numFmtId="0" fontId="0" fillId="5" borderId="38" xfId="0" applyFill="1" applyBorder="1"/>
    <xf numFmtId="0" fontId="0" fillId="3" borderId="76" xfId="0" applyFill="1" applyBorder="1"/>
    <xf numFmtId="0" fontId="2" fillId="10" borderId="75" xfId="0" applyFont="1" applyFill="1" applyBorder="1"/>
    <xf numFmtId="0" fontId="0" fillId="10" borderId="78" xfId="0" applyFill="1" applyBorder="1"/>
    <xf numFmtId="0" fontId="0" fillId="10" borderId="37" xfId="0" applyFill="1" applyBorder="1"/>
    <xf numFmtId="0" fontId="0" fillId="10" borderId="36" xfId="0" applyFill="1" applyBorder="1"/>
    <xf numFmtId="0" fontId="0" fillId="10" borderId="38" xfId="0" applyFill="1" applyBorder="1"/>
    <xf numFmtId="0" fontId="0" fillId="10" borderId="76" xfId="0" applyFill="1" applyBorder="1"/>
    <xf numFmtId="0" fontId="2" fillId="6" borderId="75" xfId="0" applyFont="1" applyFill="1" applyBorder="1"/>
    <xf numFmtId="0" fontId="0" fillId="6" borderId="78" xfId="0" applyFill="1" applyBorder="1"/>
    <xf numFmtId="0" fontId="0" fillId="6" borderId="37" xfId="0" applyFill="1" applyBorder="1"/>
    <xf numFmtId="0" fontId="0" fillId="6" borderId="36" xfId="0" applyFill="1" applyBorder="1"/>
    <xf numFmtId="0" fontId="0" fillId="6" borderId="38" xfId="0" applyFill="1" applyBorder="1"/>
    <xf numFmtId="0" fontId="0" fillId="6" borderId="76" xfId="0" applyFill="1" applyBorder="1"/>
    <xf numFmtId="18" fontId="2" fillId="0" borderId="67" xfId="0" quotePrefix="1" applyNumberFormat="1" applyFont="1" applyBorder="1" applyAlignment="1">
      <alignment horizontal="center"/>
    </xf>
    <xf numFmtId="2" fontId="0" fillId="3" borderId="78" xfId="0" applyNumberFormat="1" applyFill="1" applyBorder="1"/>
    <xf numFmtId="2" fontId="0" fillId="3" borderId="76" xfId="0" applyNumberFormat="1" applyFill="1" applyBorder="1"/>
    <xf numFmtId="2" fontId="0" fillId="10" borderId="78" xfId="0" applyNumberFormat="1" applyFill="1" applyBorder="1"/>
    <xf numFmtId="2" fontId="0" fillId="10" borderId="37" xfId="0" applyNumberFormat="1" applyFill="1" applyBorder="1"/>
    <xf numFmtId="2" fontId="0" fillId="10" borderId="36" xfId="0" applyNumberFormat="1" applyFill="1" applyBorder="1"/>
    <xf numFmtId="2" fontId="0" fillId="10" borderId="38" xfId="0" applyNumberFormat="1" applyFill="1" applyBorder="1"/>
    <xf numFmtId="2" fontId="0" fillId="10" borderId="76" xfId="0" applyNumberFormat="1" applyFill="1" applyBorder="1"/>
    <xf numFmtId="2" fontId="0" fillId="0" borderId="78" xfId="0" applyNumberFormat="1" applyBorder="1"/>
    <xf numFmtId="2" fontId="0" fillId="4" borderId="78" xfId="0" applyNumberFormat="1" applyFill="1" applyBorder="1"/>
    <xf numFmtId="2" fontId="0" fillId="4" borderId="38" xfId="0" applyNumberFormat="1" applyFill="1" applyBorder="1"/>
    <xf numFmtId="2" fontId="0" fillId="4" borderId="76" xfId="0" applyNumberFormat="1" applyFill="1" applyBorder="1"/>
    <xf numFmtId="2" fontId="0" fillId="5" borderId="78" xfId="0" applyNumberFormat="1" applyFill="1" applyBorder="1"/>
    <xf numFmtId="2" fontId="0" fillId="5" borderId="38" xfId="0" applyNumberFormat="1" applyFill="1" applyBorder="1"/>
    <xf numFmtId="2" fontId="0" fillId="5" borderId="76" xfId="0" applyNumberFormat="1" applyFill="1" applyBorder="1"/>
    <xf numFmtId="2" fontId="0" fillId="6" borderId="78" xfId="0" applyNumberFormat="1" applyFill="1" applyBorder="1"/>
    <xf numFmtId="2" fontId="0" fillId="6" borderId="37" xfId="0" applyNumberFormat="1" applyFill="1" applyBorder="1"/>
    <xf numFmtId="2" fontId="0" fillId="6" borderId="36" xfId="0" applyNumberFormat="1" applyFill="1" applyBorder="1"/>
    <xf numFmtId="2" fontId="0" fillId="6" borderId="38" xfId="0" applyNumberFormat="1" applyFill="1" applyBorder="1"/>
    <xf numFmtId="2" fontId="0" fillId="6" borderId="76" xfId="0" applyNumberFormat="1" applyFill="1" applyBorder="1"/>
    <xf numFmtId="0" fontId="2" fillId="0" borderId="75" xfId="0" applyFont="1" applyBorder="1"/>
    <xf numFmtId="2" fontId="0" fillId="3" borderId="63" xfId="0" applyNumberFormat="1" applyFill="1" applyBorder="1"/>
    <xf numFmtId="2" fontId="0" fillId="10" borderId="63" xfId="0" applyNumberFormat="1" applyFill="1" applyBorder="1"/>
    <xf numFmtId="2" fontId="0" fillId="4" borderId="63" xfId="0" applyNumberFormat="1" applyFill="1" applyBorder="1"/>
    <xf numFmtId="2" fontId="0" fillId="5" borderId="63" xfId="0" applyNumberFormat="1" applyFill="1" applyBorder="1"/>
    <xf numFmtId="2" fontId="0" fillId="6" borderId="63" xfId="0" applyNumberFormat="1" applyFill="1" applyBorder="1"/>
    <xf numFmtId="2" fontId="2" fillId="0" borderId="78" xfId="0" applyNumberFormat="1" applyFont="1" applyBorder="1"/>
    <xf numFmtId="2" fontId="2" fillId="0" borderId="37" xfId="0" applyNumberFormat="1" applyFont="1" applyBorder="1"/>
    <xf numFmtId="2" fontId="2" fillId="0" borderId="36" xfId="0" applyNumberFormat="1" applyFont="1" applyBorder="1"/>
    <xf numFmtId="2" fontId="2" fillId="0" borderId="38" xfId="0" applyNumberFormat="1" applyFont="1" applyBorder="1"/>
    <xf numFmtId="2" fontId="2" fillId="0" borderId="76" xfId="0" applyNumberFormat="1" applyFont="1" applyBorder="1"/>
    <xf numFmtId="2" fontId="2" fillId="0" borderId="63" xfId="0" applyNumberFormat="1" applyFont="1" applyBorder="1"/>
    <xf numFmtId="4" fontId="2" fillId="0" borderId="13" xfId="0" applyNumberFormat="1" applyFont="1" applyBorder="1"/>
    <xf numFmtId="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/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2" fillId="0" borderId="85" xfId="0" applyNumberFormat="1" applyFont="1" applyBorder="1" applyAlignment="1">
      <alignment horizontal="center"/>
    </xf>
    <xf numFmtId="3" fontId="0" fillId="0" borderId="23" xfId="0" applyNumberFormat="1" applyBorder="1"/>
    <xf numFmtId="3" fontId="0" fillId="0" borderId="8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3" fontId="2" fillId="0" borderId="8" xfId="0" applyNumberFormat="1" applyFont="1" applyBorder="1"/>
    <xf numFmtId="4" fontId="0" fillId="0" borderId="81" xfId="0" applyNumberFormat="1" applyBorder="1" applyAlignment="1">
      <alignment horizontal="center"/>
    </xf>
    <xf numFmtId="4" fontId="2" fillId="0" borderId="15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4" fontId="0" fillId="0" borderId="6" xfId="1" applyNumberFormat="1" applyFont="1" applyBorder="1" applyAlignment="1">
      <alignment horizontal="center"/>
    </xf>
    <xf numFmtId="4" fontId="0" fillId="0" borderId="1" xfId="1" applyNumberFormat="1" applyFont="1" applyBorder="1" applyAlignment="1">
      <alignment horizontal="center"/>
    </xf>
    <xf numFmtId="4" fontId="0" fillId="0" borderId="7" xfId="1" applyNumberFormat="1" applyFont="1" applyBorder="1" applyAlignment="1">
      <alignment horizontal="center"/>
    </xf>
    <xf numFmtId="4" fontId="2" fillId="0" borderId="13" xfId="0" applyNumberFormat="1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vertical="center" wrapText="1"/>
    </xf>
    <xf numFmtId="3" fontId="0" fillId="0" borderId="20" xfId="0" applyNumberFormat="1" applyBorder="1"/>
    <xf numFmtId="3" fontId="0" fillId="0" borderId="81" xfId="0" applyNumberFormat="1" applyBorder="1"/>
    <xf numFmtId="3" fontId="2" fillId="0" borderId="2" xfId="0" applyNumberFormat="1" applyFont="1" applyBorder="1" applyAlignment="1">
      <alignment vertical="center" wrapText="1"/>
    </xf>
    <xf numFmtId="4" fontId="2" fillId="0" borderId="14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6" xfId="0" applyBorder="1"/>
    <xf numFmtId="0" fontId="2" fillId="0" borderId="6" xfId="0" applyFont="1" applyBorder="1"/>
    <xf numFmtId="164" fontId="0" fillId="0" borderId="0" xfId="0" applyNumberFormat="1"/>
    <xf numFmtId="44" fontId="0" fillId="0" borderId="7" xfId="0" applyNumberFormat="1" applyBorder="1"/>
    <xf numFmtId="44" fontId="2" fillId="0" borderId="7" xfId="0" applyNumberFormat="1" applyFont="1" applyBorder="1"/>
    <xf numFmtId="164" fontId="10" fillId="0" borderId="0" xfId="0" applyNumberFormat="1" applyFont="1"/>
    <xf numFmtId="0" fontId="2" fillId="0" borderId="3" xfId="0" applyFont="1" applyBorder="1"/>
    <xf numFmtId="0" fontId="0" fillId="0" borderId="8" xfId="0" applyBorder="1"/>
    <xf numFmtId="0" fontId="2" fillId="0" borderId="8" xfId="0" applyFont="1" applyBorder="1"/>
    <xf numFmtId="44" fontId="2" fillId="0" borderId="10" xfId="0" applyNumberFormat="1" applyFont="1" applyBorder="1"/>
    <xf numFmtId="44" fontId="2" fillId="0" borderId="12" xfId="3" applyFont="1" applyFill="1" applyBorder="1"/>
    <xf numFmtId="0" fontId="2" fillId="0" borderId="15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44" fontId="2" fillId="0" borderId="88" xfId="3" applyFont="1" applyFill="1" applyBorder="1"/>
    <xf numFmtId="44" fontId="0" fillId="0" borderId="89" xfId="0" applyNumberFormat="1" applyBorder="1"/>
    <xf numFmtId="44" fontId="2" fillId="0" borderId="90" xfId="0" applyNumberFormat="1" applyFont="1" applyBorder="1"/>
    <xf numFmtId="0" fontId="2" fillId="0" borderId="2" xfId="0" applyFont="1" applyBorder="1" applyAlignment="1">
      <alignment vertical="center"/>
    </xf>
    <xf numFmtId="0" fontId="2" fillId="0" borderId="17" xfId="0" applyFont="1" applyBorder="1"/>
    <xf numFmtId="0" fontId="0" fillId="0" borderId="20" xfId="0" applyBorder="1"/>
    <xf numFmtId="0" fontId="2" fillId="0" borderId="18" xfId="0" applyFont="1" applyBorder="1"/>
    <xf numFmtId="10" fontId="0" fillId="0" borderId="0" xfId="1" applyNumberFormat="1" applyFont="1"/>
    <xf numFmtId="44" fontId="0" fillId="0" borderId="0" xfId="0" applyNumberFormat="1"/>
    <xf numFmtId="44" fontId="0" fillId="0" borderId="7" xfId="2" applyFont="1" applyBorder="1"/>
    <xf numFmtId="44" fontId="0" fillId="0" borderId="26" xfId="2" applyFont="1" applyBorder="1"/>
    <xf numFmtId="0" fontId="0" fillId="0" borderId="17" xfId="0" applyBorder="1"/>
    <xf numFmtId="44" fontId="0" fillId="0" borderId="12" xfId="0" applyNumberFormat="1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/>
    <xf numFmtId="44" fontId="2" fillId="0" borderId="15" xfId="0" applyNumberFormat="1" applyFont="1" applyBorder="1"/>
    <xf numFmtId="0" fontId="3" fillId="0" borderId="0" xfId="0" applyFont="1"/>
    <xf numFmtId="10" fontId="0" fillId="0" borderId="15" xfId="1" applyNumberFormat="1" applyFont="1" applyBorder="1" applyAlignment="1">
      <alignment horizontal="center"/>
    </xf>
    <xf numFmtId="44" fontId="0" fillId="0" borderId="16" xfId="2" applyFont="1" applyBorder="1"/>
    <xf numFmtId="44" fontId="0" fillId="0" borderId="14" xfId="2" applyFont="1" applyBorder="1"/>
    <xf numFmtId="44" fontId="0" fillId="0" borderId="15" xfId="2" applyFont="1" applyBorder="1"/>
    <xf numFmtId="0" fontId="0" fillId="0" borderId="86" xfId="0" applyBorder="1"/>
    <xf numFmtId="0" fontId="2" fillId="0" borderId="1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44" fontId="0" fillId="0" borderId="27" xfId="0" applyNumberFormat="1" applyBorder="1"/>
    <xf numFmtId="44" fontId="0" fillId="0" borderId="28" xfId="2" applyFont="1" applyBorder="1"/>
    <xf numFmtId="0" fontId="2" fillId="0" borderId="2" xfId="0" applyFont="1" applyBorder="1" applyAlignment="1">
      <alignment horizontal="center"/>
    </xf>
    <xf numFmtId="44" fontId="2" fillId="0" borderId="19" xfId="0" applyNumberFormat="1" applyFont="1" applyBorder="1"/>
    <xf numFmtId="44" fontId="2" fillId="0" borderId="20" xfId="2" applyFont="1" applyBorder="1"/>
    <xf numFmtId="44" fontId="2" fillId="0" borderId="18" xfId="2" applyFont="1" applyBorder="1"/>
    <xf numFmtId="44" fontId="2" fillId="0" borderId="2" xfId="0" applyNumberFormat="1" applyFont="1" applyBorder="1"/>
    <xf numFmtId="0" fontId="2" fillId="0" borderId="87" xfId="0" applyFont="1" applyBorder="1" applyAlignment="1">
      <alignment horizontal="center"/>
    </xf>
    <xf numFmtId="44" fontId="0" fillId="0" borderId="88" xfId="0" applyNumberFormat="1" applyBorder="1"/>
    <xf numFmtId="44" fontId="0" fillId="0" borderId="93" xfId="2" applyFont="1" applyBorder="1"/>
    <xf numFmtId="44" fontId="2" fillId="0" borderId="87" xfId="0" applyNumberFormat="1" applyFont="1" applyBorder="1"/>
    <xf numFmtId="0" fontId="0" fillId="0" borderId="81" xfId="0" applyBorder="1"/>
    <xf numFmtId="44" fontId="0" fillId="0" borderId="93" xfId="0" applyNumberFormat="1" applyBorder="1"/>
    <xf numFmtId="44" fontId="0" fillId="0" borderId="26" xfId="0" applyNumberFormat="1" applyBorder="1"/>
    <xf numFmtId="44" fontId="0" fillId="0" borderId="28" xfId="0" applyNumberFormat="1" applyBorder="1"/>
    <xf numFmtId="44" fontId="2" fillId="0" borderId="81" xfId="2" applyFont="1" applyBorder="1"/>
    <xf numFmtId="0" fontId="0" fillId="0" borderId="94" xfId="0" applyBorder="1"/>
    <xf numFmtId="44" fontId="0" fillId="0" borderId="91" xfId="2" applyFont="1" applyBorder="1"/>
    <xf numFmtId="44" fontId="0" fillId="0" borderId="95" xfId="2" applyFont="1" applyBorder="1"/>
    <xf numFmtId="44" fontId="0" fillId="0" borderId="96" xfId="2" applyFont="1" applyBorder="1"/>
    <xf numFmtId="0" fontId="10" fillId="0" borderId="20" xfId="0" applyFont="1" applyBorder="1"/>
    <xf numFmtId="165" fontId="10" fillId="0" borderId="89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65" fontId="10" fillId="0" borderId="27" xfId="0" applyNumberFormat="1" applyFont="1" applyBorder="1" applyAlignment="1">
      <alignment horizontal="center"/>
    </xf>
    <xf numFmtId="165" fontId="3" fillId="0" borderId="20" xfId="2" applyNumberFormat="1" applyFont="1" applyBorder="1" applyAlignment="1">
      <alignment horizontal="center"/>
    </xf>
    <xf numFmtId="0" fontId="10" fillId="0" borderId="81" xfId="0" applyFont="1" applyBorder="1"/>
    <xf numFmtId="165" fontId="10" fillId="0" borderId="93" xfId="2" applyNumberFormat="1" applyFont="1" applyBorder="1" applyAlignment="1">
      <alignment horizontal="center"/>
    </xf>
    <xf numFmtId="165" fontId="10" fillId="0" borderId="26" xfId="2" applyNumberFormat="1" applyFont="1" applyBorder="1" applyAlignment="1">
      <alignment horizontal="center"/>
    </xf>
    <xf numFmtId="165" fontId="10" fillId="0" borderId="28" xfId="2" applyNumberFormat="1" applyFont="1" applyBorder="1" applyAlignment="1">
      <alignment horizontal="center"/>
    </xf>
    <xf numFmtId="165" fontId="3" fillId="0" borderId="18" xfId="2" applyNumberFormat="1" applyFont="1" applyBorder="1" applyAlignment="1">
      <alignment horizontal="center"/>
    </xf>
    <xf numFmtId="10" fontId="3" fillId="0" borderId="18" xfId="1" applyNumberFormat="1" applyFont="1" applyBorder="1" applyAlignment="1">
      <alignment horizontal="center"/>
    </xf>
    <xf numFmtId="44" fontId="0" fillId="0" borderId="97" xfId="0" applyNumberFormat="1" applyBorder="1"/>
    <xf numFmtId="44" fontId="2" fillId="0" borderId="17" xfId="0" applyNumberFormat="1" applyFont="1" applyBorder="1"/>
    <xf numFmtId="0" fontId="2" fillId="0" borderId="98" xfId="0" applyFont="1" applyBorder="1"/>
    <xf numFmtId="44" fontId="2" fillId="0" borderId="98" xfId="0" applyNumberFormat="1" applyFont="1" applyBorder="1"/>
    <xf numFmtId="44" fontId="0" fillId="0" borderId="17" xfId="0" applyNumberFormat="1" applyBorder="1"/>
    <xf numFmtId="44" fontId="0" fillId="0" borderId="20" xfId="0" applyNumberFormat="1" applyBorder="1"/>
    <xf numFmtId="44" fontId="0" fillId="0" borderId="81" xfId="2" applyFont="1" applyBorder="1"/>
    <xf numFmtId="44" fontId="10" fillId="0" borderId="93" xfId="2" applyFont="1" applyBorder="1"/>
    <xf numFmtId="44" fontId="10" fillId="0" borderId="26" xfId="2" applyFont="1" applyBorder="1"/>
    <xf numFmtId="44" fontId="10" fillId="0" borderId="28" xfId="2" applyFont="1" applyBorder="1"/>
    <xf numFmtId="44" fontId="3" fillId="0" borderId="81" xfId="2" applyFont="1" applyBorder="1"/>
    <xf numFmtId="44" fontId="2" fillId="0" borderId="87" xfId="2" applyFont="1" applyBorder="1"/>
    <xf numFmtId="44" fontId="2" fillId="0" borderId="82" xfId="2" applyFont="1" applyBorder="1"/>
    <xf numFmtId="0" fontId="0" fillId="0" borderId="3" xfId="0" applyBorder="1"/>
    <xf numFmtId="10" fontId="3" fillId="0" borderId="10" xfId="1" applyNumberFormat="1" applyFont="1" applyBorder="1" applyAlignment="1">
      <alignment horizontal="center"/>
    </xf>
    <xf numFmtId="44" fontId="2" fillId="0" borderId="17" xfId="2" applyFont="1" applyBorder="1"/>
    <xf numFmtId="0" fontId="2" fillId="0" borderId="19" xfId="0" applyFont="1" applyBorder="1"/>
    <xf numFmtId="44" fontId="2" fillId="0" borderId="99" xfId="2" applyFont="1" applyBorder="1"/>
    <xf numFmtId="44" fontId="2" fillId="0" borderId="5" xfId="2" applyFont="1" applyBorder="1"/>
    <xf numFmtId="44" fontId="2" fillId="0" borderId="80" xfId="2" applyFont="1" applyBorder="1"/>
    <xf numFmtId="44" fontId="2" fillId="0" borderId="19" xfId="2" applyFont="1" applyBorder="1"/>
    <xf numFmtId="0" fontId="10" fillId="0" borderId="18" xfId="0" applyFont="1" applyBorder="1"/>
    <xf numFmtId="10" fontId="10" fillId="0" borderId="90" xfId="1" applyNumberFormat="1" applyFont="1" applyBorder="1" applyAlignment="1">
      <alignment horizontal="center"/>
    </xf>
    <xf numFmtId="10" fontId="10" fillId="0" borderId="10" xfId="1" applyNumberFormat="1" applyFont="1" applyBorder="1" applyAlignment="1">
      <alignment horizontal="center"/>
    </xf>
    <xf numFmtId="10" fontId="10" fillId="0" borderId="85" xfId="1" applyNumberFormat="1" applyFont="1" applyBorder="1" applyAlignment="1">
      <alignment horizontal="center"/>
    </xf>
    <xf numFmtId="10" fontId="10" fillId="0" borderId="5" xfId="1" applyNumberFormat="1" applyFont="1" applyBorder="1" applyAlignment="1">
      <alignment horizontal="center"/>
    </xf>
    <xf numFmtId="44" fontId="2" fillId="0" borderId="5" xfId="0" applyNumberFormat="1" applyFont="1" applyBorder="1"/>
    <xf numFmtId="10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7" borderId="41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9" borderId="39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2" fontId="2" fillId="0" borderId="15" xfId="0" applyNumberFormat="1" applyFont="1" applyBorder="1" applyAlignment="1">
      <alignment horizontal="center" vertical="center"/>
    </xf>
    <xf numFmtId="4" fontId="2" fillId="0" borderId="87" xfId="0" applyNumberFormat="1" applyFont="1" applyBorder="1"/>
    <xf numFmtId="4" fontId="2" fillId="0" borderId="14" xfId="0" applyNumberFormat="1" applyFont="1" applyBorder="1"/>
    <xf numFmtId="4" fontId="2" fillId="0" borderId="15" xfId="0" applyNumberFormat="1" applyFont="1" applyBorder="1"/>
    <xf numFmtId="4" fontId="2" fillId="0" borderId="88" xfId="0" applyNumberFormat="1" applyFont="1" applyBorder="1"/>
    <xf numFmtId="4" fontId="2" fillId="0" borderId="89" xfId="0" applyNumberFormat="1" applyFont="1" applyBorder="1"/>
    <xf numFmtId="4" fontId="2" fillId="0" borderId="93" xfId="0" applyNumberFormat="1" applyFont="1" applyBorder="1"/>
    <xf numFmtId="4" fontId="2" fillId="0" borderId="24" xfId="0" applyNumberFormat="1" applyFont="1" applyBorder="1" applyAlignment="1">
      <alignment horizontal="center"/>
    </xf>
    <xf numFmtId="4" fontId="2" fillId="0" borderId="25" xfId="0" applyNumberFormat="1" applyFont="1" applyBorder="1" applyAlignment="1">
      <alignment horizontal="center"/>
    </xf>
    <xf numFmtId="4" fontId="2" fillId="0" borderId="28" xfId="0" applyNumberFormat="1" applyFont="1" applyBorder="1" applyAlignment="1">
      <alignment horizontal="center"/>
    </xf>
    <xf numFmtId="4" fontId="2" fillId="0" borderId="100" xfId="0" applyNumberFormat="1" applyFont="1" applyBorder="1"/>
    <xf numFmtId="4" fontId="2" fillId="0" borderId="101" xfId="0" applyNumberFormat="1" applyFont="1" applyBorder="1"/>
    <xf numFmtId="4" fontId="2" fillId="0" borderId="102" xfId="0" applyNumberFormat="1" applyFon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0" fontId="2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3" fontId="2" fillId="0" borderId="13" xfId="0" applyNumberFormat="1" applyFont="1" applyBorder="1" applyAlignment="1">
      <alignment horizontal="center" vertical="center" wrapText="1"/>
    </xf>
    <xf numFmtId="0" fontId="8" fillId="0" borderId="100" xfId="0" applyFont="1" applyBorder="1" applyAlignment="1">
      <alignment horizontal="center" vertical="center" wrapText="1"/>
    </xf>
    <xf numFmtId="0" fontId="8" fillId="0" borderId="105" xfId="0" applyFont="1" applyBorder="1" applyAlignment="1">
      <alignment horizontal="center" vertical="center" wrapText="1"/>
    </xf>
    <xf numFmtId="3" fontId="8" fillId="0" borderId="100" xfId="0" applyNumberFormat="1" applyFont="1" applyBorder="1" applyAlignment="1">
      <alignment horizontal="center" vertical="center" wrapText="1"/>
    </xf>
    <xf numFmtId="44" fontId="10" fillId="0" borderId="88" xfId="0" applyNumberFormat="1" applyFont="1" applyBorder="1"/>
    <xf numFmtId="44" fontId="10" fillId="0" borderId="12" xfId="0" applyNumberFormat="1" applyFont="1" applyBorder="1"/>
    <xf numFmtId="44" fontId="10" fillId="0" borderId="92" xfId="0" applyNumberFormat="1" applyFont="1" applyBorder="1"/>
    <xf numFmtId="0" fontId="5" fillId="0" borderId="13" xfId="0" applyFont="1" applyBorder="1" applyAlignment="1">
      <alignment horizontal="center"/>
    </xf>
    <xf numFmtId="0" fontId="4" fillId="2" borderId="86" xfId="0" applyFont="1" applyFill="1" applyBorder="1"/>
    <xf numFmtId="0" fontId="4" fillId="0" borderId="8" xfId="0" applyFont="1" applyBorder="1"/>
    <xf numFmtId="44" fontId="0" fillId="0" borderId="0" xfId="2" applyFont="1" applyAlignment="1">
      <alignment vertical="center" wrapText="1"/>
    </xf>
    <xf numFmtId="44" fontId="0" fillId="0" borderId="0" xfId="0" applyNumberFormat="1" applyAlignment="1">
      <alignment vertical="center" wrapText="1"/>
    </xf>
    <xf numFmtId="0" fontId="2" fillId="8" borderId="54" xfId="0" applyFont="1" applyFill="1" applyBorder="1"/>
    <xf numFmtId="0" fontId="0" fillId="8" borderId="48" xfId="0" applyFill="1" applyBorder="1"/>
    <xf numFmtId="0" fontId="0" fillId="8" borderId="49" xfId="0" applyFill="1" applyBorder="1"/>
    <xf numFmtId="0" fontId="0" fillId="9" borderId="34" xfId="0" applyFill="1" applyBorder="1"/>
    <xf numFmtId="0" fontId="2" fillId="11" borderId="39" xfId="0" applyFont="1" applyFill="1" applyBorder="1"/>
    <xf numFmtId="0" fontId="2" fillId="12" borderId="35" xfId="0" applyFont="1" applyFill="1" applyBorder="1"/>
    <xf numFmtId="0" fontId="0" fillId="13" borderId="36" xfId="0" applyFill="1" applyBorder="1"/>
    <xf numFmtId="0" fontId="0" fillId="13" borderId="37" xfId="0" applyFill="1" applyBorder="1"/>
    <xf numFmtId="0" fontId="0" fillId="13" borderId="29" xfId="0" applyFill="1" applyBorder="1"/>
    <xf numFmtId="0" fontId="0" fillId="13" borderId="30" xfId="0" applyFill="1" applyBorder="1"/>
    <xf numFmtId="0" fontId="0" fillId="12" borderId="36" xfId="0" applyFill="1" applyBorder="1"/>
    <xf numFmtId="0" fontId="0" fillId="12" borderId="37" xfId="0" applyFill="1" applyBorder="1"/>
    <xf numFmtId="0" fontId="0" fillId="14" borderId="36" xfId="0" applyFill="1" applyBorder="1"/>
    <xf numFmtId="0" fontId="0" fillId="14" borderId="37" xfId="0" applyFill="1" applyBorder="1"/>
    <xf numFmtId="0" fontId="0" fillId="13" borderId="33" xfId="0" applyFill="1" applyBorder="1"/>
    <xf numFmtId="0" fontId="0" fillId="13" borderId="34" xfId="0" applyFill="1" applyBorder="1"/>
    <xf numFmtId="0" fontId="0" fillId="13" borderId="59" xfId="0" applyFill="1" applyBorder="1"/>
    <xf numFmtId="0" fontId="0" fillId="13" borderId="60" xfId="0" applyFill="1" applyBorder="1"/>
    <xf numFmtId="0" fontId="0" fillId="13" borderId="51" xfId="0" applyFill="1" applyBorder="1"/>
    <xf numFmtId="0" fontId="0" fillId="13" borderId="52" xfId="0" applyFill="1" applyBorder="1"/>
    <xf numFmtId="0" fontId="0" fillId="13" borderId="48" xfId="0" applyFill="1" applyBorder="1"/>
    <xf numFmtId="0" fontId="0" fillId="13" borderId="49" xfId="0" applyFill="1" applyBorder="1"/>
    <xf numFmtId="0" fontId="0" fillId="13" borderId="42" xfId="0" applyFill="1" applyBorder="1"/>
    <xf numFmtId="0" fontId="0" fillId="13" borderId="43" xfId="0" applyFill="1" applyBorder="1"/>
    <xf numFmtId="0" fontId="8" fillId="14" borderId="35" xfId="0" applyFont="1" applyFill="1" applyBorder="1"/>
    <xf numFmtId="0" fontId="0" fillId="12" borderId="51" xfId="0" applyFill="1" applyBorder="1"/>
    <xf numFmtId="0" fontId="0" fillId="12" borderId="52" xfId="0" applyFill="1" applyBorder="1"/>
    <xf numFmtId="0" fontId="0" fillId="11" borderId="29" xfId="0" applyFill="1" applyBorder="1"/>
    <xf numFmtId="0" fontId="0" fillId="11" borderId="30" xfId="0" applyFill="1" applyBorder="1"/>
    <xf numFmtId="0" fontId="0" fillId="11" borderId="48" xfId="0" applyFill="1" applyBorder="1"/>
    <xf numFmtId="0" fontId="0" fillId="11" borderId="49" xfId="0" applyFill="1" applyBorder="1"/>
    <xf numFmtId="0" fontId="8" fillId="11" borderId="54" xfId="0" applyFont="1" applyFill="1" applyBorder="1"/>
    <xf numFmtId="0" fontId="8" fillId="12" borderId="50" xfId="0" applyFont="1" applyFill="1" applyBorder="1"/>
    <xf numFmtId="0" fontId="8" fillId="14" borderId="50" xfId="0" applyFont="1" applyFill="1" applyBorder="1"/>
    <xf numFmtId="0" fontId="8" fillId="9" borderId="54" xfId="0" applyFont="1" applyFill="1" applyBorder="1"/>
    <xf numFmtId="0" fontId="8" fillId="9" borderId="41" xfId="0" applyFont="1" applyFill="1" applyBorder="1"/>
    <xf numFmtId="0" fontId="0" fillId="9" borderId="49" xfId="0" applyFill="1" applyBorder="1"/>
    <xf numFmtId="0" fontId="0" fillId="9" borderId="48" xfId="0" applyFill="1" applyBorder="1"/>
    <xf numFmtId="0" fontId="0" fillId="14" borderId="52" xfId="0" applyFill="1" applyBorder="1"/>
    <xf numFmtId="0" fontId="0" fillId="14" borderId="51" xfId="0" applyFill="1" applyBorder="1"/>
    <xf numFmtId="0" fontId="0" fillId="14" borderId="25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0" fontId="0" fillId="3" borderId="86" xfId="0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3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7" borderId="29" xfId="0" applyNumberFormat="1" applyFill="1" applyBorder="1"/>
    <xf numFmtId="2" fontId="0" fillId="0" borderId="30" xfId="0" applyNumberFormat="1" applyBorder="1"/>
    <xf numFmtId="2" fontId="0" fillId="0" borderId="29" xfId="0" applyNumberFormat="1" applyBorder="1"/>
    <xf numFmtId="2" fontId="0" fillId="0" borderId="40" xfId="0" applyNumberFormat="1" applyBorder="1"/>
    <xf numFmtId="2" fontId="0" fillId="0" borderId="42" xfId="0" applyNumberFormat="1" applyBorder="1"/>
    <xf numFmtId="2" fontId="0" fillId="7" borderId="43" xfId="0" applyNumberFormat="1" applyFill="1" applyBorder="1"/>
    <xf numFmtId="2" fontId="0" fillId="13" borderId="42" xfId="0" applyNumberFormat="1" applyFill="1" applyBorder="1"/>
    <xf numFmtId="2" fontId="0" fillId="13" borderId="43" xfId="0" applyNumberFormat="1" applyFill="1" applyBorder="1"/>
    <xf numFmtId="2" fontId="0" fillId="0" borderId="43" xfId="0" applyNumberFormat="1" applyBorder="1"/>
    <xf numFmtId="2" fontId="0" fillId="0" borderId="44" xfId="0" applyNumberFormat="1" applyBorder="1"/>
    <xf numFmtId="2" fontId="0" fillId="8" borderId="29" xfId="0" applyNumberFormat="1" applyFill="1" applyBorder="1"/>
    <xf numFmtId="2" fontId="0" fillId="8" borderId="30" xfId="0" applyNumberFormat="1" applyFill="1" applyBorder="1"/>
    <xf numFmtId="2" fontId="0" fillId="13" borderId="29" xfId="0" applyNumberFormat="1" applyFill="1" applyBorder="1"/>
    <xf numFmtId="2" fontId="0" fillId="13" borderId="30" xfId="0" applyNumberFormat="1" applyFill="1" applyBorder="1"/>
    <xf numFmtId="2" fontId="0" fillId="0" borderId="48" xfId="0" applyNumberFormat="1" applyBorder="1"/>
    <xf numFmtId="2" fontId="0" fillId="0" borderId="49" xfId="0" applyNumberFormat="1" applyBorder="1"/>
    <xf numFmtId="2" fontId="0" fillId="13" borderId="48" xfId="0" applyNumberFormat="1" applyFill="1" applyBorder="1"/>
    <xf numFmtId="2" fontId="0" fillId="13" borderId="49" xfId="0" applyNumberFormat="1" applyFill="1" applyBorder="1"/>
    <xf numFmtId="2" fontId="0" fillId="0" borderId="55" xfId="0" applyNumberFormat="1" applyBorder="1"/>
    <xf numFmtId="2" fontId="0" fillId="13" borderId="36" xfId="0" applyNumberFormat="1" applyFill="1" applyBorder="1"/>
    <xf numFmtId="2" fontId="0" fillId="13" borderId="37" xfId="0" applyNumberFormat="1" applyFill="1" applyBorder="1"/>
    <xf numFmtId="2" fontId="0" fillId="12" borderId="36" xfId="0" applyNumberFormat="1" applyFill="1" applyBorder="1"/>
    <xf numFmtId="2" fontId="0" fillId="12" borderId="37" xfId="0" applyNumberFormat="1" applyFill="1" applyBorder="1"/>
    <xf numFmtId="2" fontId="0" fillId="11" borderId="29" xfId="0" applyNumberFormat="1" applyFill="1" applyBorder="1"/>
    <xf numFmtId="2" fontId="0" fillId="11" borderId="30" xfId="0" applyNumberFormat="1" applyFill="1" applyBorder="1"/>
    <xf numFmtId="2" fontId="0" fillId="14" borderId="36" xfId="0" applyNumberFormat="1" applyFill="1" applyBorder="1"/>
    <xf numFmtId="2" fontId="0" fillId="14" borderId="37" xfId="0" applyNumberFormat="1" applyFill="1" applyBorder="1"/>
    <xf numFmtId="2" fontId="0" fillId="0" borderId="33" xfId="0" applyNumberFormat="1" applyBorder="1"/>
    <xf numFmtId="2" fontId="0" fillId="0" borderId="34" xfId="0" applyNumberFormat="1" applyBorder="1"/>
    <xf numFmtId="2" fontId="0" fillId="9" borderId="33" xfId="0" applyNumberFormat="1" applyFill="1" applyBorder="1"/>
    <xf numFmtId="2" fontId="0" fillId="13" borderId="33" xfId="0" applyNumberFormat="1" applyFill="1" applyBorder="1"/>
    <xf numFmtId="2" fontId="0" fillId="13" borderId="34" xfId="0" applyNumberFormat="1" applyFill="1" applyBorder="1"/>
    <xf numFmtId="2" fontId="0" fillId="0" borderId="57" xfId="0" applyNumberFormat="1" applyBorder="1"/>
    <xf numFmtId="2" fontId="0" fillId="9" borderId="34" xfId="0" applyNumberFormat="1" applyFill="1" applyBorder="1"/>
    <xf numFmtId="2" fontId="0" fillId="0" borderId="59" xfId="0" applyNumberFormat="1" applyBorder="1"/>
    <xf numFmtId="2" fontId="0" fillId="0" borderId="60" xfId="0" applyNumberFormat="1" applyBorder="1"/>
    <xf numFmtId="2" fontId="0" fillId="13" borderId="59" xfId="0" applyNumberFormat="1" applyFill="1" applyBorder="1"/>
    <xf numFmtId="2" fontId="0" fillId="13" borderId="60" xfId="0" applyNumberFormat="1" applyFill="1" applyBorder="1"/>
    <xf numFmtId="2" fontId="0" fillId="0" borderId="61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13" borderId="51" xfId="0" applyNumberFormat="1" applyFill="1" applyBorder="1"/>
    <xf numFmtId="2" fontId="0" fillId="13" borderId="52" xfId="0" applyNumberFormat="1" applyFill="1" applyBorder="1"/>
    <xf numFmtId="2" fontId="0" fillId="14" borderId="51" xfId="0" applyNumberFormat="1" applyFill="1" applyBorder="1"/>
    <xf numFmtId="2" fontId="0" fillId="14" borderId="52" xfId="0" applyNumberFormat="1" applyFill="1" applyBorder="1"/>
    <xf numFmtId="2" fontId="0" fillId="0" borderId="53" xfId="0" applyNumberFormat="1" applyBorder="1"/>
    <xf numFmtId="2" fontId="0" fillId="9" borderId="48" xfId="0" applyNumberFormat="1" applyFill="1" applyBorder="1"/>
    <xf numFmtId="2" fontId="0" fillId="9" borderId="49" xfId="0" applyNumberFormat="1" applyFill="1" applyBorder="1"/>
    <xf numFmtId="2" fontId="0" fillId="9" borderId="42" xfId="0" applyNumberFormat="1" applyFill="1" applyBorder="1"/>
    <xf numFmtId="2" fontId="0" fillId="9" borderId="43" xfId="0" applyNumberFormat="1" applyFill="1" applyBorder="1"/>
    <xf numFmtId="2" fontId="0" fillId="12" borderId="51" xfId="0" applyNumberFormat="1" applyFill="1" applyBorder="1"/>
    <xf numFmtId="2" fontId="0" fillId="12" borderId="52" xfId="0" applyNumberFormat="1" applyFill="1" applyBorder="1"/>
    <xf numFmtId="2" fontId="0" fillId="11" borderId="48" xfId="0" applyNumberFormat="1" applyFill="1" applyBorder="1"/>
    <xf numFmtId="2" fontId="0" fillId="11" borderId="49" xfId="0" applyNumberFormat="1" applyFill="1" applyBorder="1"/>
    <xf numFmtId="2" fontId="0" fillId="7" borderId="30" xfId="0" applyNumberFormat="1" applyFill="1" applyBorder="1"/>
    <xf numFmtId="2" fontId="0" fillId="7" borderId="42" xfId="0" applyNumberFormat="1" applyFill="1" applyBorder="1"/>
    <xf numFmtId="2" fontId="0" fillId="7" borderId="44" xfId="0" applyNumberFormat="1" applyFill="1" applyBorder="1"/>
    <xf numFmtId="2" fontId="0" fillId="9" borderId="59" xfId="0" applyNumberFormat="1" applyFill="1" applyBorder="1"/>
    <xf numFmtId="2" fontId="0" fillId="8" borderId="48" xfId="0" applyNumberFormat="1" applyFill="1" applyBorder="1"/>
    <xf numFmtId="2" fontId="0" fillId="8" borderId="49" xfId="0" applyNumberFormat="1" applyFill="1" applyBorder="1"/>
    <xf numFmtId="2" fontId="0" fillId="8" borderId="42" xfId="0" applyNumberFormat="1" applyFill="1" applyBorder="1"/>
    <xf numFmtId="2" fontId="0" fillId="8" borderId="43" xfId="0" applyNumberFormat="1" applyFill="1" applyBorder="1"/>
    <xf numFmtId="0" fontId="8" fillId="9" borderId="5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8" fillId="11" borderId="54" xfId="0" applyFont="1" applyFill="1" applyBorder="1" applyAlignment="1">
      <alignment horizontal="center"/>
    </xf>
    <xf numFmtId="0" fontId="0" fillId="14" borderId="6" xfId="0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/>
    </xf>
    <xf numFmtId="2" fontId="0" fillId="14" borderId="7" xfId="0" applyNumberForma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2" fontId="0" fillId="12" borderId="25" xfId="0" applyNumberFormat="1" applyFill="1" applyBorder="1" applyAlignment="1">
      <alignment horizontal="center" vertical="center"/>
    </xf>
    <xf numFmtId="0" fontId="0" fillId="12" borderId="25" xfId="0" applyFill="1" applyBorder="1" applyAlignment="1">
      <alignment vertical="center" wrapText="1"/>
    </xf>
    <xf numFmtId="3" fontId="0" fillId="12" borderId="25" xfId="0" applyNumberFormat="1" applyFill="1" applyBorder="1" applyAlignment="1">
      <alignment horizontal="center" vertical="center"/>
    </xf>
    <xf numFmtId="2" fontId="0" fillId="12" borderId="26" xfId="0" applyNumberFormat="1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9" xfId="0" applyBorder="1" applyAlignment="1">
      <alignment horizontal="center"/>
    </xf>
    <xf numFmtId="4" fontId="2" fillId="0" borderId="82" xfId="0" applyNumberFormat="1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0" fillId="0" borderId="84" xfId="0" applyBorder="1"/>
    <xf numFmtId="0" fontId="0" fillId="0" borderId="58" xfId="0" applyBorder="1" applyAlignment="1">
      <alignment horizontal="center"/>
    </xf>
    <xf numFmtId="0" fontId="0" fillId="0" borderId="77" xfId="0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8" fillId="0" borderId="106" xfId="0" applyFont="1" applyBorder="1" applyAlignment="1">
      <alignment horizontal="center"/>
    </xf>
    <xf numFmtId="0" fontId="8" fillId="0" borderId="104" xfId="0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0" fillId="0" borderId="87" xfId="0" applyBorder="1"/>
    <xf numFmtId="0" fontId="8" fillId="0" borderId="10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</cellXfs>
  <cellStyles count="4">
    <cellStyle name="Normale" xfId="0" builtinId="0"/>
    <cellStyle name="Percentuale" xfId="1" builtinId="5"/>
    <cellStyle name="Valuta" xfId="2" builtinId="4"/>
    <cellStyle name="Valuta 2" xfId="3" xr:uid="{BF5C06CA-4447-A342-900C-077BDFF64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'Costi Ricavi'!$B$3</c:f>
              <c:strCache>
                <c:ptCount val="1"/>
                <c:pt idx="0">
                  <c:v>A - RICAVI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Ricavi'!$C$3:$G$3</c:f>
              <c:numCache>
                <c:formatCode>_("€"* #,##0.00_);_("€"* \(#,##0.00\);_("€"* "-"??_);_(@_)</c:formatCode>
                <c:ptCount val="5"/>
                <c:pt idx="0">
                  <c:v>410000</c:v>
                </c:pt>
                <c:pt idx="1">
                  <c:v>645000</c:v>
                </c:pt>
                <c:pt idx="2">
                  <c:v>905000</c:v>
                </c:pt>
                <c:pt idx="3">
                  <c:v>1254000</c:v>
                </c:pt>
                <c:pt idx="4">
                  <c:v>1465000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6-FA42-AC54-0A78EBBD8756}"/>
            </c:ext>
          </c:extLst>
        </c:ser>
        <c:ser>
          <c:idx val="1"/>
          <c:order val="1"/>
          <c:tx>
            <c:strRef>
              <c:f>'Costi Ricavi'!$B$4</c:f>
              <c:strCache>
                <c:ptCount val="1"/>
                <c:pt idx="0">
                  <c:v>B - COSTI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Ricavi'!$C$4:$G$4</c:f>
              <c:numCache>
                <c:formatCode>_("€"* #,##0.00_);_("€"* \(#,##0.00\);_("€"* "-"??_);_(@_)</c:formatCode>
                <c:ptCount val="5"/>
                <c:pt idx="0">
                  <c:v>519759.57929483848</c:v>
                </c:pt>
                <c:pt idx="1">
                  <c:v>516759.57929483848</c:v>
                </c:pt>
                <c:pt idx="2">
                  <c:v>514759.57929483854</c:v>
                </c:pt>
                <c:pt idx="3">
                  <c:v>512759.57929483854</c:v>
                </c:pt>
                <c:pt idx="4">
                  <c:v>512759.57929483854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6-FA42-AC54-0A78EBBD8756}"/>
            </c:ext>
          </c:extLst>
        </c:ser>
        <c:ser>
          <c:idx val="3"/>
          <c:order val="3"/>
          <c:tx>
            <c:strRef>
              <c:f>'Costi Ricavi'!$B$6</c:f>
              <c:strCache>
                <c:ptCount val="1"/>
                <c:pt idx="0">
                  <c:v>BC - COSTI TOTALI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Ricavi'!$C$6:$G$6</c:f>
              <c:numCache>
                <c:formatCode>_("€"* #,##0.00_);_("€"* \(#,##0.00\);_("€"* "-"??_);_(@_)</c:formatCode>
                <c:ptCount val="5"/>
                <c:pt idx="0">
                  <c:v>657479.95559494151</c:v>
                </c:pt>
                <c:pt idx="1">
                  <c:v>635282.64889876102</c:v>
                </c:pt>
                <c:pt idx="2">
                  <c:v>614205.34220258042</c:v>
                </c:pt>
                <c:pt idx="3">
                  <c:v>593128.03550639981</c:v>
                </c:pt>
                <c:pt idx="4">
                  <c:v>574290.72881021921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6-FA42-AC54-0A78EBBD8756}"/>
            </c:ext>
          </c:extLst>
        </c:ser>
        <c:ser>
          <c:idx val="11"/>
          <c:order val="11"/>
          <c:tx>
            <c:strRef>
              <c:f>'Costi Ricavi'!$B$14</c:f>
              <c:strCache>
                <c:ptCount val="1"/>
                <c:pt idx="0">
                  <c:v>RC - Risultato Netto Cumulato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'Costi Ricavi'!$C$2:$G$2</c:f>
              <c:strCache>
                <c:ptCount val="5"/>
                <c:pt idx="0">
                  <c:v>Anno 1</c:v>
                </c:pt>
                <c:pt idx="1">
                  <c:v>Anno 2</c:v>
                </c:pt>
                <c:pt idx="2">
                  <c:v>Anno 3</c:v>
                </c:pt>
                <c:pt idx="3">
                  <c:v>Anno 4</c:v>
                </c:pt>
                <c:pt idx="4">
                  <c:v>Anno 5</c:v>
                </c:pt>
              </c:strCache>
            </c:strRef>
          </c:cat>
          <c:val>
            <c:numRef>
              <c:f>'Costi Ricavi'!$C$14:$G$14</c:f>
              <c:numCache>
                <c:formatCode>_("€"* #,##0.00_);_("€"* \(#,##0.00\);_("€"* "-"??_);_(@_)</c:formatCode>
                <c:ptCount val="5"/>
                <c:pt idx="0">
                  <c:v>-248814.53634558088</c:v>
                </c:pt>
                <c:pt idx="1">
                  <c:v>-255160.84044203453</c:v>
                </c:pt>
                <c:pt idx="2">
                  <c:v>-61436.31763214682</c:v>
                </c:pt>
                <c:pt idx="3">
                  <c:v>395709.23208408226</c:v>
                </c:pt>
                <c:pt idx="4">
                  <c:v>1016452.9767066527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46-FA42-AC54-0A78EBBD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342015"/>
        <c:axId val="169070041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'Costi Ricavi'!$B$5</c15:sqref>
                        </c15:formulaRef>
                      </c:ext>
                    </c:extLst>
                    <c:strCache>
                      <c:ptCount val="1"/>
                      <c:pt idx="0">
                        <c:v>C - ONERI FINANZIARI PIATT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'Costi Ricavi'!$C$5:$G$5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5"/>
                      <c:pt idx="0">
                        <c:v>137720.37630010309</c:v>
                      </c:pt>
                      <c:pt idx="1">
                        <c:v>118523.06960392249</c:v>
                      </c:pt>
                      <c:pt idx="2">
                        <c:v>99445.762907741882</c:v>
                      </c:pt>
                      <c:pt idx="3">
                        <c:v>80368.45621156125</c:v>
                      </c:pt>
                      <c:pt idx="4">
                        <c:v>61531.149515380639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446-FA42-AC54-0A78EBBD875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Ricavi'!$B$7</c15:sqref>
                        </c15:formulaRef>
                      </c:ext>
                    </c:extLst>
                    <c:strCache>
                      <c:ptCount val="1"/>
                      <c:pt idx="0">
                        <c:v>R1 - Risultato Lordo A-BC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Ricavi'!$C$7:$G$7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5"/>
                      <c:pt idx="0">
                        <c:v>-247479.95559494151</c:v>
                      </c:pt>
                      <c:pt idx="1">
                        <c:v>9717.351101238979</c:v>
                      </c:pt>
                      <c:pt idx="2">
                        <c:v>290794.65779741958</c:v>
                      </c:pt>
                      <c:pt idx="3">
                        <c:v>660871.96449360019</c:v>
                      </c:pt>
                      <c:pt idx="4">
                        <c:v>890709.27118978079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446-FA42-AC54-0A78EBBD875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Ricavi'!$B$8</c15:sqref>
                        </c15:formulaRef>
                      </c:ext>
                    </c:extLst>
                    <c:strCache>
                      <c:ptCount val="1"/>
                      <c:pt idx="0">
                        <c:v>% Risultato/Ricavi (R1/A)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Ricavi'!$C$8:$G$8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-0.60360964779254023</c:v>
                      </c:pt>
                      <c:pt idx="1">
                        <c:v>1.5065660622075936E-2</c:v>
                      </c:pt>
                      <c:pt idx="2">
                        <c:v>0.32132006386455203</c:v>
                      </c:pt>
                      <c:pt idx="3">
                        <c:v>0.52701113595980875</c:v>
                      </c:pt>
                      <c:pt idx="4">
                        <c:v>0.60799267658005518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446-FA42-AC54-0A78EBBD875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Ricavi'!$B$9</c15:sqref>
                        </c15:formulaRef>
                      </c:ext>
                    </c:extLst>
                    <c:strCache>
                      <c:ptCount val="1"/>
                      <c:pt idx="0">
                        <c:v>T1 - Tasse IRES 24% di R1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Ricavi'!$C$9:$G$9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5"/>
                      <c:pt idx="0">
                        <c:v>0</c:v>
                      </c:pt>
                      <c:pt idx="1">
                        <c:v>2332.1642642973547</c:v>
                      </c:pt>
                      <c:pt idx="2">
                        <c:v>69790.717871380693</c:v>
                      </c:pt>
                      <c:pt idx="3">
                        <c:v>158609.27147846404</c:v>
                      </c:pt>
                      <c:pt idx="4">
                        <c:v>213770.22508554737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446-FA42-AC54-0A78EBBD875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Ricavi'!$B$10</c15:sqref>
                        </c15:formulaRef>
                      </c:ext>
                    </c:extLst>
                    <c:strCache>
                      <c:ptCount val="1"/>
                      <c:pt idx="0">
                        <c:v>IR: Imponibile IRAP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Ricavi'!$C$10:$G$10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5"/>
                      <c:pt idx="0">
                        <c:v>27688.397316169576</c:v>
                      </c:pt>
                      <c:pt idx="1">
                        <c:v>284885.70401235006</c:v>
                      </c:pt>
                      <c:pt idx="2">
                        <c:v>565963.01070853067</c:v>
                      </c:pt>
                      <c:pt idx="3">
                        <c:v>936040.31740471139</c:v>
                      </c:pt>
                      <c:pt idx="4">
                        <c:v>1165877.6241008919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446-FA42-AC54-0A78EBBD875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Ricavi'!$B$11</c15:sqref>
                        </c15:formulaRef>
                      </c:ext>
                    </c:extLst>
                    <c:strCache>
                      <c:ptCount val="1"/>
                      <c:pt idx="0">
                        <c:v>T2 - Tasse IRAP 4,82% di IR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Ricavi'!$C$11:$G$11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5"/>
                      <c:pt idx="0">
                        <c:v>1334.5807506393735</c:v>
                      </c:pt>
                      <c:pt idx="1">
                        <c:v>13731.490933395273</c:v>
                      </c:pt>
                      <c:pt idx="2">
                        <c:v>27279.417116151177</c:v>
                      </c:pt>
                      <c:pt idx="3">
                        <c:v>45117.143298907089</c:v>
                      </c:pt>
                      <c:pt idx="4">
                        <c:v>56195.301481662987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446-FA42-AC54-0A78EBBD875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Ricavi'!$B$12</c15:sqref>
                        </c15:formulaRef>
                      </c:ext>
                    </c:extLst>
                    <c:strCache>
                      <c:ptCount val="1"/>
                      <c:pt idx="0">
                        <c:v>R2 - Risultato Netto R1-T1-T2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Ricavi'!$C$12:$G$12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5"/>
                      <c:pt idx="0">
                        <c:v>-248814.53634558088</c:v>
                      </c:pt>
                      <c:pt idx="1">
                        <c:v>-6346.3040964536485</c:v>
                      </c:pt>
                      <c:pt idx="2">
                        <c:v>193724.52280988771</c:v>
                      </c:pt>
                      <c:pt idx="3">
                        <c:v>457145.54971622908</c:v>
                      </c:pt>
                      <c:pt idx="4">
                        <c:v>620743.74462257046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2446-FA42-AC54-0A78EBBD875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Ricavi'!$B$13</c15:sqref>
                        </c15:formulaRef>
                      </c:ext>
                    </c:extLst>
                    <c:strCache>
                      <c:ptCount val="1"/>
                      <c:pt idx="0">
                        <c:v>% Risultato/Ricavi (R2/A)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'Costi Ricavi'!$C$2:$G$2</c15:sqref>
                        </c15:formulaRef>
                      </c:ext>
                    </c:extLst>
                    <c:strCache>
                      <c:ptCount val="5"/>
                      <c:pt idx="0">
                        <c:v>Anno 1</c:v>
                      </c:pt>
                      <c:pt idx="1">
                        <c:v>Anno 2</c:v>
                      </c:pt>
                      <c:pt idx="2">
                        <c:v>Anno 3</c:v>
                      </c:pt>
                      <c:pt idx="3">
                        <c:v>Anno 4</c:v>
                      </c:pt>
                      <c:pt idx="4">
                        <c:v>Anno 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'Costi Ricavi'!$C$13:$G$13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-0.60686472279409975</c:v>
                      </c:pt>
                      <c:pt idx="1">
                        <c:v>-9.839231157292478E-3</c:v>
                      </c:pt>
                      <c:pt idx="2">
                        <c:v>0.21406024619877095</c:v>
                      </c:pt>
                      <c:pt idx="3">
                        <c:v>0.36454988015648254</c:v>
                      </c:pt>
                      <c:pt idx="4">
                        <c:v>0.42371586663656685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2446-FA42-AC54-0A78EBBD8756}"/>
                  </c:ext>
                </c:extLst>
              </c15:ser>
            </c15:filteredLineSeries>
          </c:ext>
        </c:extLst>
      </c:lineChart>
      <c:catAx>
        <c:axId val="194234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0700415"/>
        <c:crosses val="autoZero"/>
        <c:auto val="1"/>
        <c:lblAlgn val="ctr"/>
        <c:lblOffset val="100"/>
        <c:noMultiLvlLbl val="0"/>
      </c:catAx>
      <c:valAx>
        <c:axId val="16907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34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1343269</xdr:colOff>
      <xdr:row>15</xdr:row>
      <xdr:rowOff>49822</xdr:rowOff>
    </xdr:from>
    <xdr:to>
      <xdr:col>7</xdr:col>
      <xdr:colOff>644769</xdr:colOff>
      <xdr:row>32</xdr:row>
      <xdr:rowOff>195383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4FC146D-86F5-643D-5752-2E5BBC4DE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73C4-E396-4D44-B6B8-41AF4BCDDAEB}">
  <dimension ref="B2:H5"/>
  <sheetViews>
    <sheetView zoomScale="130" zoomScaleNormal="130" workbookViewId="0">
      <selection activeCell="E12" sqref="E12"/>
    </sheetView>
  </sheetViews>
  <sheetFormatPr defaultColWidth="10.83203125" defaultRowHeight="15" x14ac:dyDescent="0.3"/>
  <cols>
    <col min="1" max="1" width="10.83203125" style="2"/>
    <col min="2" max="2" width="17" style="2" customWidth="1"/>
    <col min="3" max="16384" width="10.83203125" style="2"/>
  </cols>
  <sheetData>
    <row r="2" spans="2:8" ht="15.5" thickBot="1" x14ac:dyDescent="0.35"/>
    <row r="3" spans="2:8" s="6" customFormat="1" ht="15.5" thickBot="1" x14ac:dyDescent="0.35">
      <c r="B3" s="3"/>
      <c r="C3" s="331">
        <v>2026</v>
      </c>
      <c r="D3" s="4">
        <v>2027</v>
      </c>
      <c r="E3" s="4">
        <v>2028</v>
      </c>
      <c r="F3" s="4">
        <v>2029</v>
      </c>
      <c r="G3" s="4">
        <v>2030</v>
      </c>
      <c r="H3" s="5">
        <v>2031</v>
      </c>
    </row>
    <row r="4" spans="2:8" x14ac:dyDescent="0.3">
      <c r="B4" s="7" t="s">
        <v>0</v>
      </c>
      <c r="C4" s="332"/>
      <c r="D4" s="8"/>
      <c r="E4" s="8"/>
      <c r="F4" s="8"/>
      <c r="G4" s="8"/>
      <c r="H4" s="9"/>
    </row>
    <row r="5" spans="2:8" ht="15.5" thickBot="1" x14ac:dyDescent="0.35">
      <c r="B5" s="10" t="s">
        <v>1</v>
      </c>
      <c r="C5" s="333"/>
      <c r="D5" s="11"/>
      <c r="E5" s="11"/>
      <c r="F5" s="11"/>
      <c r="G5" s="11"/>
      <c r="H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FA23-24C1-0047-89C5-A0FC0CE2E150}">
  <dimension ref="A3:AF194"/>
  <sheetViews>
    <sheetView topLeftCell="A159" zoomScale="80" zoomScaleNormal="80" workbookViewId="0">
      <selection activeCell="K197" sqref="K197"/>
    </sheetView>
  </sheetViews>
  <sheetFormatPr defaultColWidth="10.6640625" defaultRowHeight="15.5" x14ac:dyDescent="0.35"/>
  <cols>
    <col min="2" max="2" width="10.83203125" style="288"/>
    <col min="3" max="3" width="44.1640625" customWidth="1"/>
    <col min="4" max="5" width="5.83203125" bestFit="1" customWidth="1"/>
    <col min="6" max="6" width="4.83203125" customWidth="1"/>
    <col min="7" max="7" width="4.6640625" customWidth="1"/>
    <col min="8" max="8" width="5" bestFit="1" customWidth="1"/>
    <col min="9" max="9" width="4.83203125" customWidth="1"/>
    <col min="10" max="10" width="5" bestFit="1" customWidth="1"/>
    <col min="11" max="11" width="5.5" customWidth="1"/>
    <col min="12" max="12" width="5.1640625" customWidth="1"/>
    <col min="13" max="23" width="5" bestFit="1" customWidth="1"/>
    <col min="24" max="27" width="5.83203125" bestFit="1" customWidth="1"/>
    <col min="28" max="28" width="11.33203125" style="96" customWidth="1"/>
  </cols>
  <sheetData>
    <row r="3" spans="3:27" ht="16" thickBot="1" x14ac:dyDescent="0.4"/>
    <row r="4" spans="3:27" ht="16.5" thickTop="1" thickBot="1" x14ac:dyDescent="0.4">
      <c r="C4" s="52" t="s">
        <v>43</v>
      </c>
      <c r="D4" s="462">
        <v>1</v>
      </c>
      <c r="E4" s="462"/>
      <c r="F4" s="462">
        <v>2</v>
      </c>
      <c r="G4" s="462"/>
      <c r="H4" s="462">
        <v>3</v>
      </c>
      <c r="I4" s="462"/>
      <c r="J4" s="462">
        <v>4</v>
      </c>
      <c r="K4" s="462"/>
      <c r="L4" s="462">
        <v>5</v>
      </c>
      <c r="M4" s="462"/>
      <c r="N4" s="462">
        <v>6</v>
      </c>
      <c r="O4" s="462"/>
      <c r="P4" s="462">
        <v>7</v>
      </c>
      <c r="Q4" s="462"/>
      <c r="R4" s="462">
        <v>8</v>
      </c>
      <c r="S4" s="462"/>
      <c r="T4" s="462">
        <v>9</v>
      </c>
      <c r="U4" s="462"/>
      <c r="V4" s="462">
        <v>10</v>
      </c>
      <c r="W4" s="462"/>
      <c r="X4" s="462">
        <v>11</v>
      </c>
      <c r="Y4" s="462"/>
      <c r="Z4" s="462">
        <v>12</v>
      </c>
      <c r="AA4" s="466"/>
    </row>
    <row r="5" spans="3:27" ht="16.5" thickTop="1" thickBot="1" x14ac:dyDescent="0.4">
      <c r="C5" s="38" t="s">
        <v>18</v>
      </c>
      <c r="D5" s="39"/>
      <c r="E5" s="40"/>
      <c r="F5" s="342"/>
      <c r="G5" s="343"/>
      <c r="H5" s="41"/>
      <c r="I5" s="42"/>
      <c r="J5" s="41"/>
      <c r="K5" s="42"/>
      <c r="L5" s="41"/>
      <c r="M5" s="42"/>
      <c r="N5" s="41"/>
      <c r="O5" s="42"/>
      <c r="P5" s="41"/>
      <c r="Q5" s="42"/>
      <c r="R5" s="41"/>
      <c r="S5" s="42"/>
      <c r="T5" s="41"/>
      <c r="U5" s="42"/>
      <c r="V5" s="41"/>
      <c r="W5" s="42"/>
      <c r="X5" s="41"/>
      <c r="Y5" s="42"/>
      <c r="Z5" s="41"/>
      <c r="AA5" s="43"/>
    </row>
    <row r="6" spans="3:27" ht="16" thickBot="1" x14ac:dyDescent="0.4">
      <c r="C6" s="44" t="s">
        <v>19</v>
      </c>
      <c r="D6" s="32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45"/>
    </row>
    <row r="7" spans="3:27" ht="16" thickBot="1" x14ac:dyDescent="0.4">
      <c r="C7" s="46" t="s">
        <v>20</v>
      </c>
      <c r="D7" s="47"/>
      <c r="E7" s="50"/>
      <c r="F7" s="358"/>
      <c r="G7" s="359"/>
      <c r="H7" s="47"/>
      <c r="I7" s="48"/>
      <c r="J7" s="47"/>
      <c r="K7" s="48"/>
      <c r="L7" s="47"/>
      <c r="M7" s="48"/>
      <c r="N7" s="47"/>
      <c r="O7" s="48"/>
      <c r="P7" s="47"/>
      <c r="Q7" s="48"/>
      <c r="R7" s="47"/>
      <c r="S7" s="48"/>
      <c r="T7" s="47"/>
      <c r="U7" s="48"/>
      <c r="V7" s="47"/>
      <c r="W7" s="48"/>
      <c r="X7" s="47"/>
      <c r="Y7" s="48"/>
      <c r="Z7" s="47"/>
      <c r="AA7" s="51"/>
    </row>
    <row r="8" spans="3:27" ht="16.5" thickTop="1" thickBot="1" x14ac:dyDescent="0.4">
      <c r="C8" s="53" t="s">
        <v>121</v>
      </c>
      <c r="D8" s="41"/>
      <c r="E8" s="42"/>
      <c r="F8" s="54"/>
      <c r="G8" s="55"/>
      <c r="H8" s="54"/>
      <c r="I8" s="55"/>
      <c r="J8" s="54"/>
      <c r="K8" s="55"/>
      <c r="L8" s="54"/>
      <c r="M8" s="55"/>
      <c r="N8" s="54"/>
      <c r="O8" s="55"/>
      <c r="P8" s="54"/>
      <c r="Q8" s="55"/>
      <c r="R8" s="54"/>
      <c r="S8" s="55"/>
      <c r="T8" s="54"/>
      <c r="U8" s="55"/>
      <c r="V8" s="54"/>
      <c r="W8" s="55"/>
      <c r="X8" s="41"/>
      <c r="Y8" s="42"/>
      <c r="Z8" s="41"/>
      <c r="AA8" s="43"/>
    </row>
    <row r="9" spans="3:27" ht="16" thickBot="1" x14ac:dyDescent="0.4">
      <c r="C9" s="56" t="s">
        <v>122</v>
      </c>
      <c r="D9" s="30"/>
      <c r="E9" s="31"/>
      <c r="F9" s="34"/>
      <c r="G9" s="35"/>
      <c r="H9" s="344"/>
      <c r="I9" s="345"/>
      <c r="J9" s="344"/>
      <c r="K9" s="345"/>
      <c r="L9" s="344"/>
      <c r="M9" s="345"/>
      <c r="N9" s="344"/>
      <c r="O9" s="345"/>
      <c r="P9" s="344"/>
      <c r="Q9" s="345"/>
      <c r="R9" s="344"/>
      <c r="S9" s="345"/>
      <c r="T9" s="344"/>
      <c r="U9" s="345"/>
      <c r="V9" s="344"/>
      <c r="W9" s="345"/>
      <c r="X9" s="30"/>
      <c r="Y9" s="31"/>
      <c r="Z9" s="30"/>
      <c r="AA9" s="45"/>
    </row>
    <row r="10" spans="3:27" ht="16" thickBot="1" x14ac:dyDescent="0.4">
      <c r="C10" s="56" t="s">
        <v>123</v>
      </c>
      <c r="D10" s="30"/>
      <c r="E10" s="31"/>
      <c r="F10" s="30"/>
      <c r="G10" s="31"/>
      <c r="H10" s="34"/>
      <c r="I10" s="35"/>
      <c r="J10" s="34"/>
      <c r="K10" s="35"/>
      <c r="L10" s="344"/>
      <c r="M10" s="345"/>
      <c r="N10" s="344"/>
      <c r="O10" s="345"/>
      <c r="P10" s="344"/>
      <c r="Q10" s="345"/>
      <c r="R10" s="344"/>
      <c r="S10" s="345"/>
      <c r="T10" s="344"/>
      <c r="U10" s="345"/>
      <c r="V10" s="344"/>
      <c r="W10" s="345"/>
      <c r="X10" s="30"/>
      <c r="Y10" s="31"/>
      <c r="Z10" s="30"/>
      <c r="AA10" s="45"/>
    </row>
    <row r="11" spans="3:27" ht="16" thickBot="1" x14ac:dyDescent="0.4">
      <c r="C11" s="56" t="s">
        <v>124</v>
      </c>
      <c r="D11" s="30"/>
      <c r="E11" s="31"/>
      <c r="F11" s="30"/>
      <c r="G11" s="31"/>
      <c r="H11" s="344"/>
      <c r="I11" s="345"/>
      <c r="J11" s="344"/>
      <c r="K11" s="345"/>
      <c r="L11" s="34"/>
      <c r="M11" s="35"/>
      <c r="N11" s="34"/>
      <c r="O11" s="35"/>
      <c r="P11" s="34"/>
      <c r="Q11" s="35"/>
      <c r="R11" s="344"/>
      <c r="S11" s="345"/>
      <c r="T11" s="344"/>
      <c r="U11" s="345"/>
      <c r="V11" s="344"/>
      <c r="W11" s="345"/>
      <c r="X11" s="30"/>
      <c r="Y11" s="31"/>
      <c r="Z11" s="30"/>
      <c r="AA11" s="45"/>
    </row>
    <row r="12" spans="3:27" ht="16" thickBot="1" x14ac:dyDescent="0.4">
      <c r="C12" s="336" t="s">
        <v>150</v>
      </c>
      <c r="D12" s="64"/>
      <c r="E12" s="65"/>
      <c r="F12" s="64"/>
      <c r="G12" s="65"/>
      <c r="H12" s="356"/>
      <c r="I12" s="357"/>
      <c r="J12" s="356"/>
      <c r="K12" s="357"/>
      <c r="L12" s="356"/>
      <c r="M12" s="357"/>
      <c r="N12" s="356"/>
      <c r="O12" s="357"/>
      <c r="P12" s="356"/>
      <c r="Q12" s="357"/>
      <c r="R12" s="337"/>
      <c r="S12" s="338"/>
      <c r="T12" s="337"/>
      <c r="U12" s="338"/>
      <c r="V12" s="356"/>
      <c r="W12" s="357"/>
      <c r="X12" s="64"/>
      <c r="Y12" s="65"/>
      <c r="Z12" s="64"/>
      <c r="AA12" s="71"/>
    </row>
    <row r="13" spans="3:27" ht="16" thickBot="1" x14ac:dyDescent="0.4">
      <c r="C13" s="57" t="s">
        <v>141</v>
      </c>
      <c r="D13" s="47"/>
      <c r="E13" s="48"/>
      <c r="F13" s="47"/>
      <c r="G13" s="48"/>
      <c r="H13" s="358"/>
      <c r="I13" s="359"/>
      <c r="J13" s="358"/>
      <c r="K13" s="359"/>
      <c r="L13" s="358"/>
      <c r="M13" s="359"/>
      <c r="N13" s="358"/>
      <c r="O13" s="359"/>
      <c r="P13" s="358"/>
      <c r="Q13" s="359"/>
      <c r="R13" s="358"/>
      <c r="S13" s="359"/>
      <c r="T13" s="358"/>
      <c r="U13" s="359"/>
      <c r="V13" s="58"/>
      <c r="W13" s="59"/>
      <c r="X13" s="47"/>
      <c r="Y13" s="48"/>
      <c r="Z13" s="47"/>
      <c r="AA13" s="51"/>
    </row>
    <row r="14" spans="3:27" ht="16.5" thickTop="1" thickBot="1" x14ac:dyDescent="0.4">
      <c r="C14" s="360" t="s">
        <v>128</v>
      </c>
      <c r="D14" s="41"/>
      <c r="E14" s="42"/>
      <c r="F14" s="348"/>
      <c r="G14" s="349"/>
      <c r="H14" s="348"/>
      <c r="I14" s="349"/>
      <c r="J14" s="348"/>
      <c r="K14" s="349"/>
      <c r="L14" s="348"/>
      <c r="M14" s="349"/>
      <c r="N14" s="348"/>
      <c r="O14" s="349"/>
      <c r="P14" s="348"/>
      <c r="Q14" s="343"/>
      <c r="R14" s="342"/>
      <c r="S14" s="343"/>
      <c r="T14" s="342"/>
      <c r="U14" s="343"/>
      <c r="V14" s="342"/>
      <c r="W14" s="343"/>
      <c r="X14" s="41"/>
      <c r="Y14" s="42"/>
      <c r="Z14" s="41"/>
      <c r="AA14" s="43"/>
    </row>
    <row r="15" spans="3:27" ht="16" thickBot="1" x14ac:dyDescent="0.4">
      <c r="C15" s="73" t="s">
        <v>129</v>
      </c>
      <c r="D15" s="36"/>
      <c r="E15" s="37"/>
      <c r="F15" s="72"/>
      <c r="G15" s="351"/>
      <c r="H15" s="350"/>
      <c r="I15" s="351"/>
      <c r="J15" s="350"/>
      <c r="K15" s="351"/>
      <c r="L15" s="350"/>
      <c r="M15" s="351"/>
      <c r="N15" s="350"/>
      <c r="O15" s="351"/>
      <c r="P15" s="350"/>
      <c r="Q15" s="351"/>
      <c r="R15" s="350"/>
      <c r="S15" s="351"/>
      <c r="T15" s="350"/>
      <c r="U15" s="351"/>
      <c r="V15" s="350"/>
      <c r="W15" s="351"/>
      <c r="X15" s="36"/>
      <c r="Y15" s="37"/>
      <c r="Z15" s="36"/>
      <c r="AA15" s="74"/>
    </row>
    <row r="16" spans="3:27" ht="16" thickBot="1" x14ac:dyDescent="0.4">
      <c r="C16" s="73" t="s">
        <v>130</v>
      </c>
      <c r="D16" s="36"/>
      <c r="E16" s="37"/>
      <c r="F16" s="350"/>
      <c r="G16" s="339"/>
      <c r="H16" s="72"/>
      <c r="I16" s="339"/>
      <c r="J16" s="72"/>
      <c r="K16" s="339"/>
      <c r="L16" s="350"/>
      <c r="M16" s="351"/>
      <c r="N16" s="350"/>
      <c r="O16" s="351"/>
      <c r="P16" s="350"/>
      <c r="Q16" s="351"/>
      <c r="R16" s="350"/>
      <c r="S16" s="351"/>
      <c r="T16" s="350"/>
      <c r="U16" s="351"/>
      <c r="V16" s="350"/>
      <c r="W16" s="351"/>
      <c r="X16" s="36"/>
      <c r="Y16" s="37"/>
      <c r="Z16" s="36"/>
      <c r="AA16" s="74"/>
    </row>
    <row r="17" spans="3:31" ht="16" thickBot="1" x14ac:dyDescent="0.4">
      <c r="C17" s="73" t="s">
        <v>131</v>
      </c>
      <c r="D17" s="36"/>
      <c r="E17" s="37"/>
      <c r="F17" s="350"/>
      <c r="G17" s="351"/>
      <c r="H17" s="350"/>
      <c r="I17" s="351"/>
      <c r="J17" s="350"/>
      <c r="K17" s="351"/>
      <c r="L17" s="72"/>
      <c r="M17" s="339"/>
      <c r="N17" s="72"/>
      <c r="O17" s="339"/>
      <c r="P17" s="350"/>
      <c r="Q17" s="351"/>
      <c r="R17" s="350"/>
      <c r="S17" s="351"/>
      <c r="T17" s="350"/>
      <c r="U17" s="351"/>
      <c r="V17" s="350"/>
      <c r="W17" s="351"/>
      <c r="X17" s="36"/>
      <c r="Y17" s="37"/>
      <c r="Z17" s="36"/>
      <c r="AA17" s="74"/>
    </row>
    <row r="18" spans="3:31" ht="16" thickBot="1" x14ac:dyDescent="0.4">
      <c r="C18" s="75" t="s">
        <v>151</v>
      </c>
      <c r="D18" s="76"/>
      <c r="E18" s="77"/>
      <c r="F18" s="352"/>
      <c r="G18" s="353"/>
      <c r="H18" s="352"/>
      <c r="I18" s="353"/>
      <c r="J18" s="352"/>
      <c r="K18" s="353"/>
      <c r="L18" s="352"/>
      <c r="M18" s="353"/>
      <c r="N18" s="352"/>
      <c r="O18" s="353"/>
      <c r="P18" s="78"/>
      <c r="Q18" s="353"/>
      <c r="R18" s="352"/>
      <c r="S18" s="353"/>
      <c r="T18" s="352"/>
      <c r="U18" s="353"/>
      <c r="V18" s="352"/>
      <c r="W18" s="353"/>
      <c r="X18" s="76"/>
      <c r="Y18" s="77"/>
      <c r="Z18" s="76"/>
      <c r="AA18" s="79"/>
    </row>
    <row r="19" spans="3:31" ht="16.5" thickTop="1" thickBot="1" x14ac:dyDescent="0.4">
      <c r="C19" s="369" t="s">
        <v>132</v>
      </c>
      <c r="D19" s="68"/>
      <c r="E19" s="69"/>
      <c r="F19" s="68"/>
      <c r="G19" s="69"/>
      <c r="H19" s="68"/>
      <c r="I19" s="69"/>
      <c r="J19" s="68"/>
      <c r="K19" s="69"/>
      <c r="L19" s="354"/>
      <c r="M19" s="355"/>
      <c r="N19" s="354"/>
      <c r="O19" s="355"/>
      <c r="P19" s="354"/>
      <c r="Q19" s="374"/>
      <c r="R19" s="375"/>
      <c r="S19" s="374"/>
      <c r="T19" s="375"/>
      <c r="U19" s="374"/>
      <c r="V19" s="375"/>
      <c r="W19" s="374"/>
      <c r="X19" s="68"/>
      <c r="Y19" s="69"/>
      <c r="Z19" s="68"/>
      <c r="AA19" s="70"/>
    </row>
    <row r="20" spans="3:31" ht="16" thickBot="1" x14ac:dyDescent="0.4">
      <c r="C20" s="370" t="s">
        <v>125</v>
      </c>
      <c r="D20" s="64"/>
      <c r="E20" s="65"/>
      <c r="F20" s="64"/>
      <c r="G20" s="65"/>
      <c r="H20" s="64"/>
      <c r="I20" s="65"/>
      <c r="J20" s="64"/>
      <c r="K20" s="65"/>
      <c r="L20" s="356"/>
      <c r="M20" s="357"/>
      <c r="N20" s="356"/>
      <c r="O20" s="357"/>
      <c r="P20" s="356"/>
      <c r="Q20" s="372"/>
      <c r="R20" s="356"/>
      <c r="S20" s="357"/>
      <c r="T20" s="356"/>
      <c r="U20" s="357"/>
      <c r="V20" s="356"/>
      <c r="W20" s="357"/>
      <c r="X20" s="64"/>
      <c r="Y20" s="65"/>
      <c r="Z20" s="64"/>
      <c r="AA20" s="71"/>
    </row>
    <row r="21" spans="3:31" ht="16" thickBot="1" x14ac:dyDescent="0.4">
      <c r="C21" s="370" t="s">
        <v>133</v>
      </c>
      <c r="D21" s="64"/>
      <c r="E21" s="65"/>
      <c r="F21" s="64"/>
      <c r="G21" s="65"/>
      <c r="H21" s="64"/>
      <c r="I21" s="65"/>
      <c r="J21" s="64"/>
      <c r="K21" s="65"/>
      <c r="L21" s="356"/>
      <c r="M21" s="357"/>
      <c r="N21" s="356"/>
      <c r="O21" s="357"/>
      <c r="P21" s="356"/>
      <c r="Q21" s="357"/>
      <c r="R21" s="373"/>
      <c r="S21" s="372"/>
      <c r="T21" s="373"/>
      <c r="U21" s="357"/>
      <c r="V21" s="356"/>
      <c r="W21" s="357"/>
      <c r="X21" s="64"/>
      <c r="Y21" s="65"/>
      <c r="Z21" s="64"/>
      <c r="AA21" s="71"/>
    </row>
    <row r="22" spans="3:31" ht="16" thickBot="1" x14ac:dyDescent="0.4">
      <c r="C22" s="371" t="s">
        <v>134</v>
      </c>
      <c r="D22" s="47"/>
      <c r="E22" s="48"/>
      <c r="F22" s="47"/>
      <c r="G22" s="48"/>
      <c r="H22" s="47"/>
      <c r="I22" s="48"/>
      <c r="J22" s="47"/>
      <c r="K22" s="48"/>
      <c r="L22" s="358"/>
      <c r="M22" s="359"/>
      <c r="N22" s="358"/>
      <c r="O22" s="359"/>
      <c r="P22" s="358"/>
      <c r="Q22" s="359"/>
      <c r="R22" s="358"/>
      <c r="S22" s="359"/>
      <c r="T22" s="358"/>
      <c r="U22" s="63"/>
      <c r="V22" s="62"/>
      <c r="W22" s="63"/>
      <c r="X22" s="47"/>
      <c r="Y22" s="48"/>
      <c r="Z22" s="47"/>
      <c r="AA22" s="51"/>
    </row>
    <row r="23" spans="3:31" ht="16.5" thickTop="1" thickBot="1" x14ac:dyDescent="0.4">
      <c r="C23" s="368" t="s">
        <v>135</v>
      </c>
      <c r="D23" s="68"/>
      <c r="E23" s="69"/>
      <c r="F23" s="361"/>
      <c r="G23" s="362"/>
      <c r="H23" s="361"/>
      <c r="I23" s="362"/>
      <c r="J23" s="361"/>
      <c r="K23" s="362"/>
      <c r="L23" s="361"/>
      <c r="M23" s="362"/>
      <c r="N23" s="361"/>
      <c r="O23" s="362"/>
      <c r="P23" s="361"/>
      <c r="Q23" s="362"/>
      <c r="R23" s="361"/>
      <c r="S23" s="362"/>
      <c r="T23" s="354"/>
      <c r="U23" s="355"/>
      <c r="V23" s="354"/>
      <c r="W23" s="355"/>
      <c r="X23" s="68"/>
      <c r="Y23" s="69"/>
      <c r="Z23" s="68"/>
      <c r="AA23" s="70"/>
    </row>
    <row r="24" spans="3:31" ht="16" thickBot="1" x14ac:dyDescent="0.4">
      <c r="C24" s="367" t="s">
        <v>126</v>
      </c>
      <c r="D24" s="64"/>
      <c r="E24" s="65"/>
      <c r="F24" s="365"/>
      <c r="G24" s="366"/>
      <c r="H24" s="356"/>
      <c r="I24" s="357"/>
      <c r="J24" s="356"/>
      <c r="K24" s="357"/>
      <c r="L24" s="356"/>
      <c r="M24" s="357"/>
      <c r="N24" s="356"/>
      <c r="O24" s="357"/>
      <c r="P24" s="356"/>
      <c r="Q24" s="357"/>
      <c r="R24" s="356"/>
      <c r="S24" s="357"/>
      <c r="T24" s="64"/>
      <c r="U24" s="65"/>
      <c r="V24" s="64"/>
      <c r="W24" s="65"/>
      <c r="X24" s="64"/>
      <c r="Y24" s="65"/>
      <c r="Z24" s="64"/>
      <c r="AA24" s="71"/>
    </row>
    <row r="25" spans="3:31" ht="16" thickBot="1" x14ac:dyDescent="0.4">
      <c r="C25" s="367" t="s">
        <v>136</v>
      </c>
      <c r="D25" s="64"/>
      <c r="E25" s="65"/>
      <c r="F25" s="356"/>
      <c r="G25" s="357"/>
      <c r="H25" s="365"/>
      <c r="I25" s="366"/>
      <c r="J25" s="365"/>
      <c r="K25" s="366"/>
      <c r="L25" s="365"/>
      <c r="M25" s="366"/>
      <c r="N25" s="356"/>
      <c r="O25" s="357"/>
      <c r="P25" s="356"/>
      <c r="Q25" s="357"/>
      <c r="R25" s="356"/>
      <c r="S25" s="357"/>
      <c r="T25" s="64"/>
      <c r="U25" s="65"/>
      <c r="V25" s="64"/>
      <c r="W25" s="65"/>
      <c r="X25" s="64"/>
      <c r="Y25" s="65"/>
      <c r="Z25" s="64"/>
      <c r="AA25" s="71"/>
    </row>
    <row r="26" spans="3:31" ht="16" thickBot="1" x14ac:dyDescent="0.4">
      <c r="C26" s="367" t="s">
        <v>137</v>
      </c>
      <c r="D26" s="64"/>
      <c r="E26" s="65"/>
      <c r="F26" s="356"/>
      <c r="G26" s="357"/>
      <c r="H26" s="356"/>
      <c r="I26" s="357"/>
      <c r="J26" s="356"/>
      <c r="K26" s="357"/>
      <c r="L26" s="356"/>
      <c r="M26" s="357"/>
      <c r="N26" s="365"/>
      <c r="O26" s="366"/>
      <c r="P26" s="365"/>
      <c r="Q26" s="366"/>
      <c r="R26" s="365"/>
      <c r="S26" s="366"/>
      <c r="T26" s="64"/>
      <c r="U26" s="65"/>
      <c r="V26" s="64"/>
      <c r="W26" s="65"/>
      <c r="X26" s="64"/>
      <c r="Y26" s="65"/>
      <c r="Z26" s="64"/>
      <c r="AA26" s="71"/>
    </row>
    <row r="27" spans="3:31" ht="16.5" thickTop="1" thickBot="1" x14ac:dyDescent="0.4">
      <c r="C27" s="341" t="s">
        <v>138</v>
      </c>
      <c r="D27" s="41"/>
      <c r="E27" s="42"/>
      <c r="F27" s="342"/>
      <c r="G27" s="343"/>
      <c r="H27" s="342"/>
      <c r="I27" s="343"/>
      <c r="J27" s="342"/>
      <c r="K27" s="343"/>
      <c r="L27" s="342"/>
      <c r="M27" s="343"/>
      <c r="N27" s="342"/>
      <c r="O27" s="343"/>
      <c r="P27" s="342"/>
      <c r="Q27" s="343"/>
      <c r="R27" s="342"/>
      <c r="S27" s="343"/>
      <c r="T27" s="346"/>
      <c r="U27" s="347"/>
      <c r="V27" s="346"/>
      <c r="W27" s="347"/>
      <c r="X27" s="41"/>
      <c r="Y27" s="42"/>
      <c r="Z27" s="41"/>
      <c r="AA27" s="43"/>
    </row>
    <row r="28" spans="3:31" ht="16" thickBot="1" x14ac:dyDescent="0.4">
      <c r="C28" s="340" t="s">
        <v>139</v>
      </c>
      <c r="D28" s="30"/>
      <c r="E28" s="31"/>
      <c r="F28" s="344"/>
      <c r="G28" s="345"/>
      <c r="H28" s="344"/>
      <c r="I28" s="345"/>
      <c r="J28" s="344"/>
      <c r="K28" s="345"/>
      <c r="L28" s="344"/>
      <c r="M28" s="345"/>
      <c r="N28" s="344"/>
      <c r="O28" s="345"/>
      <c r="P28" s="344"/>
      <c r="Q28" s="345"/>
      <c r="R28" s="344"/>
      <c r="S28" s="345"/>
      <c r="T28" s="363"/>
      <c r="U28" s="364"/>
      <c r="V28" s="363"/>
      <c r="W28" s="31"/>
      <c r="X28" s="30"/>
      <c r="Y28" s="31"/>
      <c r="Z28" s="30"/>
      <c r="AA28" s="45"/>
    </row>
    <row r="29" spans="3:31" ht="16" thickBot="1" x14ac:dyDescent="0.4">
      <c r="C29" s="340" t="s">
        <v>140</v>
      </c>
      <c r="D29" s="30"/>
      <c r="E29" s="31"/>
      <c r="F29" s="344"/>
      <c r="G29" s="345"/>
      <c r="H29" s="344"/>
      <c r="I29" s="345"/>
      <c r="J29" s="344"/>
      <c r="K29" s="345"/>
      <c r="L29" s="344"/>
      <c r="M29" s="345"/>
      <c r="N29" s="344"/>
      <c r="O29" s="345"/>
      <c r="P29" s="344"/>
      <c r="Q29" s="345"/>
      <c r="R29" s="344"/>
      <c r="S29" s="345"/>
      <c r="T29" s="30"/>
      <c r="U29" s="31"/>
      <c r="V29" s="30"/>
      <c r="W29" s="364"/>
      <c r="X29" s="30"/>
      <c r="Y29" s="31"/>
      <c r="Z29" s="30"/>
      <c r="AA29" s="45"/>
    </row>
    <row r="30" spans="3:31" ht="16.5" thickTop="1" thickBot="1" x14ac:dyDescent="0.4">
      <c r="C30" s="38" t="s">
        <v>21</v>
      </c>
      <c r="D30" s="41"/>
      <c r="E30" s="42"/>
      <c r="F30" s="41"/>
      <c r="G30" s="42"/>
      <c r="H30" s="41"/>
      <c r="I30" s="42"/>
      <c r="J30" s="41"/>
      <c r="K30" s="42"/>
      <c r="L30" s="41"/>
      <c r="M30" s="42"/>
      <c r="N30" s="41"/>
      <c r="O30" s="42"/>
      <c r="P30" s="41"/>
      <c r="Q30" s="42"/>
      <c r="R30" s="41"/>
      <c r="S30" s="42"/>
      <c r="T30" s="41"/>
      <c r="U30" s="42"/>
      <c r="V30" s="41"/>
      <c r="W30" s="42"/>
      <c r="X30" s="39"/>
      <c r="Y30" s="40"/>
      <c r="Z30" s="39"/>
      <c r="AA30" s="66"/>
    </row>
    <row r="31" spans="3:31" ht="16" thickBot="1" x14ac:dyDescent="0.4">
      <c r="C31" s="44" t="s">
        <v>22</v>
      </c>
      <c r="D31" s="30"/>
      <c r="E31" s="31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2"/>
      <c r="Y31" s="33"/>
      <c r="Z31" s="344"/>
      <c r="AA31" s="45"/>
    </row>
    <row r="32" spans="3:31" ht="16" thickBot="1" x14ac:dyDescent="0.4">
      <c r="C32" s="46" t="s">
        <v>23</v>
      </c>
      <c r="D32" s="47"/>
      <c r="E32" s="48"/>
      <c r="F32" s="47"/>
      <c r="G32" s="48"/>
      <c r="H32" s="47"/>
      <c r="I32" s="48"/>
      <c r="J32" s="47"/>
      <c r="K32" s="48"/>
      <c r="L32" s="47"/>
      <c r="M32" s="48"/>
      <c r="N32" s="47"/>
      <c r="O32" s="48"/>
      <c r="P32" s="47"/>
      <c r="Q32" s="48"/>
      <c r="R32" s="47"/>
      <c r="S32" s="48"/>
      <c r="T32" s="47"/>
      <c r="U32" s="48"/>
      <c r="V32" s="47"/>
      <c r="W32" s="48"/>
      <c r="X32" s="47"/>
      <c r="Y32" s="48"/>
      <c r="Z32" s="49"/>
      <c r="AA32" s="67"/>
      <c r="AE32" t="s">
        <v>24</v>
      </c>
    </row>
    <row r="33" spans="1:28" ht="16" thickTop="1" x14ac:dyDescent="0.35"/>
    <row r="34" spans="1:28" x14ac:dyDescent="0.35">
      <c r="A34" s="1" t="s">
        <v>26</v>
      </c>
      <c r="B34" s="287">
        <v>1752</v>
      </c>
    </row>
    <row r="35" spans="1:28" x14ac:dyDescent="0.35">
      <c r="A35" s="1" t="s">
        <v>27</v>
      </c>
      <c r="B35" s="287">
        <f>B34/12</f>
        <v>146</v>
      </c>
    </row>
    <row r="36" spans="1:28" x14ac:dyDescent="0.35">
      <c r="A36" s="1" t="s">
        <v>112</v>
      </c>
      <c r="B36" s="287">
        <f>B35/2</f>
        <v>73</v>
      </c>
    </row>
    <row r="37" spans="1:28" ht="16" thickBot="1" x14ac:dyDescent="0.4">
      <c r="A37" s="1"/>
      <c r="B37" s="287"/>
    </row>
    <row r="38" spans="1:28" ht="16.5" thickTop="1" thickBot="1" x14ac:dyDescent="0.4">
      <c r="C38" s="95" t="s">
        <v>28</v>
      </c>
      <c r="D38" s="462">
        <v>1</v>
      </c>
      <c r="E38" s="462"/>
      <c r="F38" s="462">
        <v>2</v>
      </c>
      <c r="G38" s="462"/>
      <c r="H38" s="462">
        <v>3</v>
      </c>
      <c r="I38" s="462"/>
      <c r="J38" s="462">
        <v>4</v>
      </c>
      <c r="K38" s="462"/>
      <c r="L38" s="462">
        <v>5</v>
      </c>
      <c r="M38" s="462"/>
      <c r="N38" s="462">
        <v>6</v>
      </c>
      <c r="O38" s="462"/>
      <c r="P38" s="462">
        <v>7</v>
      </c>
      <c r="Q38" s="462"/>
      <c r="R38" s="462">
        <v>8</v>
      </c>
      <c r="S38" s="462"/>
      <c r="T38" s="462">
        <v>9</v>
      </c>
      <c r="U38" s="462"/>
      <c r="V38" s="462">
        <v>10</v>
      </c>
      <c r="W38" s="462"/>
      <c r="X38" s="462">
        <v>11</v>
      </c>
      <c r="Y38" s="462"/>
      <c r="Z38" s="462">
        <v>12</v>
      </c>
      <c r="AA38" s="463"/>
      <c r="AB38" s="97" t="s">
        <v>25</v>
      </c>
    </row>
    <row r="39" spans="1:28" ht="16.5" thickTop="1" thickBot="1" x14ac:dyDescent="0.4">
      <c r="C39" s="38" t="s">
        <v>18</v>
      </c>
      <c r="D39" s="81"/>
      <c r="E39" s="82"/>
      <c r="F39" s="406"/>
      <c r="G39" s="407"/>
      <c r="H39" s="83"/>
      <c r="I39" s="84"/>
      <c r="J39" s="83"/>
      <c r="K39" s="84"/>
      <c r="L39" s="83"/>
      <c r="M39" s="84"/>
      <c r="N39" s="83"/>
      <c r="O39" s="84"/>
      <c r="P39" s="83"/>
      <c r="Q39" s="84"/>
      <c r="R39" s="83"/>
      <c r="S39" s="84"/>
      <c r="T39" s="83"/>
      <c r="U39" s="84"/>
      <c r="V39" s="83"/>
      <c r="W39" s="84"/>
      <c r="X39" s="83"/>
      <c r="Y39" s="84"/>
      <c r="Z39" s="83"/>
      <c r="AA39" s="85"/>
      <c r="AB39" s="98">
        <f>SUM(AB40:AB41)</f>
        <v>146</v>
      </c>
    </row>
    <row r="40" spans="1:28" ht="16" thickBot="1" x14ac:dyDescent="0.4">
      <c r="C40" s="44" t="s">
        <v>19</v>
      </c>
      <c r="D40" s="387">
        <v>1</v>
      </c>
      <c r="E40" s="388"/>
      <c r="F40" s="389"/>
      <c r="G40" s="388"/>
      <c r="H40" s="389"/>
      <c r="I40" s="388"/>
      <c r="J40" s="389"/>
      <c r="K40" s="388"/>
      <c r="L40" s="389"/>
      <c r="M40" s="388"/>
      <c r="N40" s="389"/>
      <c r="O40" s="388"/>
      <c r="P40" s="389"/>
      <c r="Q40" s="388"/>
      <c r="R40" s="389"/>
      <c r="S40" s="388"/>
      <c r="T40" s="389"/>
      <c r="U40" s="388"/>
      <c r="V40" s="389"/>
      <c r="W40" s="388"/>
      <c r="X40" s="389"/>
      <c r="Y40" s="388"/>
      <c r="Z40" s="389"/>
      <c r="AA40" s="390"/>
      <c r="AB40" s="99">
        <f>SUM(D40:AA40)*$B$35/2</f>
        <v>73</v>
      </c>
    </row>
    <row r="41" spans="1:28" ht="16" thickBot="1" x14ac:dyDescent="0.4">
      <c r="C41" s="46" t="s">
        <v>20</v>
      </c>
      <c r="D41" s="391"/>
      <c r="E41" s="392">
        <v>1</v>
      </c>
      <c r="F41" s="393"/>
      <c r="G41" s="394"/>
      <c r="H41" s="391"/>
      <c r="I41" s="395"/>
      <c r="J41" s="391"/>
      <c r="K41" s="395"/>
      <c r="L41" s="391"/>
      <c r="M41" s="395"/>
      <c r="N41" s="391"/>
      <c r="O41" s="395"/>
      <c r="P41" s="391"/>
      <c r="Q41" s="395"/>
      <c r="R41" s="391"/>
      <c r="S41" s="395"/>
      <c r="T41" s="391"/>
      <c r="U41" s="395"/>
      <c r="V41" s="391"/>
      <c r="W41" s="395"/>
      <c r="X41" s="391"/>
      <c r="Y41" s="395"/>
      <c r="Z41" s="391"/>
      <c r="AA41" s="396"/>
      <c r="AB41" s="100">
        <f>SUM(D41:AA41)*$B$35/2</f>
        <v>73</v>
      </c>
    </row>
    <row r="42" spans="1:28" ht="16.5" thickTop="1" thickBot="1" x14ac:dyDescent="0.4">
      <c r="C42" s="53" t="s">
        <v>121</v>
      </c>
      <c r="D42" s="83"/>
      <c r="E42" s="84"/>
      <c r="F42" s="86"/>
      <c r="G42" s="87"/>
      <c r="H42" s="86"/>
      <c r="I42" s="87"/>
      <c r="J42" s="86"/>
      <c r="K42" s="87"/>
      <c r="L42" s="86"/>
      <c r="M42" s="87"/>
      <c r="N42" s="86"/>
      <c r="O42" s="87"/>
      <c r="P42" s="86"/>
      <c r="Q42" s="87"/>
      <c r="R42" s="86"/>
      <c r="S42" s="87"/>
      <c r="T42" s="86"/>
      <c r="U42" s="87"/>
      <c r="V42" s="86"/>
      <c r="W42" s="87"/>
      <c r="X42" s="83"/>
      <c r="Y42" s="84"/>
      <c r="Z42" s="83"/>
      <c r="AA42" s="85"/>
      <c r="AB42" s="98">
        <f>SUM(AB43:AB47)</f>
        <v>525.6</v>
      </c>
    </row>
    <row r="43" spans="1:28" ht="16" thickBot="1" x14ac:dyDescent="0.4">
      <c r="C43" s="56" t="s">
        <v>122</v>
      </c>
      <c r="D43" s="389"/>
      <c r="E43" s="388"/>
      <c r="F43" s="397">
        <v>0.4</v>
      </c>
      <c r="G43" s="398">
        <v>0.4</v>
      </c>
      <c r="H43" s="399"/>
      <c r="I43" s="400"/>
      <c r="J43" s="399"/>
      <c r="K43" s="400"/>
      <c r="L43" s="399"/>
      <c r="M43" s="400"/>
      <c r="N43" s="399"/>
      <c r="O43" s="400"/>
      <c r="P43" s="399"/>
      <c r="Q43" s="400"/>
      <c r="R43" s="399"/>
      <c r="S43" s="400"/>
      <c r="T43" s="399"/>
      <c r="U43" s="400"/>
      <c r="V43" s="399"/>
      <c r="W43" s="400"/>
      <c r="X43" s="389"/>
      <c r="Y43" s="388"/>
      <c r="Z43" s="389"/>
      <c r="AA43" s="390"/>
      <c r="AB43" s="99">
        <f t="shared" ref="AB43:AB47" si="0">SUM(D43:AA43)*$B$35/2</f>
        <v>58.400000000000006</v>
      </c>
    </row>
    <row r="44" spans="1:28" ht="16" thickBot="1" x14ac:dyDescent="0.4">
      <c r="C44" s="56" t="s">
        <v>123</v>
      </c>
      <c r="D44" s="389"/>
      <c r="E44" s="388"/>
      <c r="F44" s="389"/>
      <c r="G44" s="388"/>
      <c r="H44" s="397">
        <v>0.4</v>
      </c>
      <c r="I44" s="398">
        <v>0.4</v>
      </c>
      <c r="J44" s="397">
        <v>0.4</v>
      </c>
      <c r="K44" s="398">
        <v>0.4</v>
      </c>
      <c r="L44" s="399"/>
      <c r="M44" s="400"/>
      <c r="N44" s="399"/>
      <c r="O44" s="400"/>
      <c r="P44" s="399"/>
      <c r="Q44" s="400"/>
      <c r="R44" s="399"/>
      <c r="S44" s="400"/>
      <c r="T44" s="399"/>
      <c r="U44" s="400"/>
      <c r="V44" s="399"/>
      <c r="W44" s="400"/>
      <c r="X44" s="389"/>
      <c r="Y44" s="388"/>
      <c r="Z44" s="389"/>
      <c r="AA44" s="390"/>
      <c r="AB44" s="99">
        <f>SUM(D44:AA44)*$B$35/2</f>
        <v>116.80000000000001</v>
      </c>
    </row>
    <row r="45" spans="1:28" ht="16" thickBot="1" x14ac:dyDescent="0.4">
      <c r="C45" s="56" t="s">
        <v>124</v>
      </c>
      <c r="D45" s="389"/>
      <c r="E45" s="388"/>
      <c r="F45" s="389"/>
      <c r="G45" s="388"/>
      <c r="H45" s="399"/>
      <c r="I45" s="400"/>
      <c r="J45" s="399"/>
      <c r="K45" s="400"/>
      <c r="L45" s="397">
        <v>0.4</v>
      </c>
      <c r="M45" s="398">
        <v>0.4</v>
      </c>
      <c r="N45" s="397">
        <v>0.4</v>
      </c>
      <c r="O45" s="398">
        <v>0.4</v>
      </c>
      <c r="P45" s="397">
        <v>0.4</v>
      </c>
      <c r="Q45" s="398">
        <v>0.4</v>
      </c>
      <c r="R45" s="399"/>
      <c r="S45" s="400"/>
      <c r="T45" s="399"/>
      <c r="U45" s="400"/>
      <c r="V45" s="399"/>
      <c r="W45" s="400"/>
      <c r="X45" s="389"/>
      <c r="Y45" s="388"/>
      <c r="Z45" s="389"/>
      <c r="AA45" s="390"/>
      <c r="AB45" s="99">
        <f t="shared" si="0"/>
        <v>175.2</v>
      </c>
    </row>
    <row r="46" spans="1:28" ht="16" thickBot="1" x14ac:dyDescent="0.4">
      <c r="C46" s="336" t="s">
        <v>150</v>
      </c>
      <c r="D46" s="401"/>
      <c r="E46" s="402"/>
      <c r="F46" s="401"/>
      <c r="G46" s="402"/>
      <c r="H46" s="403"/>
      <c r="I46" s="404"/>
      <c r="J46" s="403"/>
      <c r="K46" s="404"/>
      <c r="L46" s="403"/>
      <c r="M46" s="404"/>
      <c r="N46" s="403"/>
      <c r="O46" s="404"/>
      <c r="P46" s="403"/>
      <c r="Q46" s="404"/>
      <c r="R46" s="445">
        <v>0.4</v>
      </c>
      <c r="S46" s="446">
        <v>0.4</v>
      </c>
      <c r="T46" s="445">
        <v>0.4</v>
      </c>
      <c r="U46" s="446">
        <v>0.4</v>
      </c>
      <c r="V46" s="403"/>
      <c r="W46" s="404"/>
      <c r="X46" s="401"/>
      <c r="Y46" s="402"/>
      <c r="Z46" s="401"/>
      <c r="AA46" s="405"/>
      <c r="AB46" s="99">
        <f t="shared" si="0"/>
        <v>116.80000000000001</v>
      </c>
    </row>
    <row r="47" spans="1:28" ht="16" thickBot="1" x14ac:dyDescent="0.4">
      <c r="C47" s="57" t="s">
        <v>141</v>
      </c>
      <c r="D47" s="391"/>
      <c r="E47" s="395"/>
      <c r="F47" s="391"/>
      <c r="G47" s="395"/>
      <c r="H47" s="393"/>
      <c r="I47" s="394"/>
      <c r="J47" s="393"/>
      <c r="K47" s="394"/>
      <c r="L47" s="393"/>
      <c r="M47" s="394"/>
      <c r="N47" s="393"/>
      <c r="O47" s="394"/>
      <c r="P47" s="393"/>
      <c r="Q47" s="394"/>
      <c r="R47" s="393"/>
      <c r="S47" s="394"/>
      <c r="T47" s="393"/>
      <c r="U47" s="394"/>
      <c r="V47" s="447">
        <v>0.4</v>
      </c>
      <c r="W47" s="448">
        <v>0.4</v>
      </c>
      <c r="X47" s="391"/>
      <c r="Y47" s="395"/>
      <c r="Z47" s="391"/>
      <c r="AA47" s="396"/>
      <c r="AB47" s="100">
        <f t="shared" si="0"/>
        <v>58.400000000000006</v>
      </c>
    </row>
    <row r="48" spans="1:28" ht="16.5" thickTop="1" thickBot="1" x14ac:dyDescent="0.4">
      <c r="C48" s="360" t="s">
        <v>128</v>
      </c>
      <c r="D48" s="83"/>
      <c r="E48" s="84"/>
      <c r="F48" s="412"/>
      <c r="G48" s="413"/>
      <c r="H48" s="412"/>
      <c r="I48" s="413"/>
      <c r="J48" s="412"/>
      <c r="K48" s="413"/>
      <c r="L48" s="412"/>
      <c r="M48" s="413"/>
      <c r="N48" s="412"/>
      <c r="O48" s="413"/>
      <c r="P48" s="412"/>
      <c r="Q48" s="407"/>
      <c r="R48" s="406"/>
      <c r="S48" s="407"/>
      <c r="T48" s="406"/>
      <c r="U48" s="407"/>
      <c r="V48" s="406"/>
      <c r="W48" s="407"/>
      <c r="X48" s="83"/>
      <c r="Y48" s="84"/>
      <c r="Z48" s="83"/>
      <c r="AA48" s="85"/>
      <c r="AB48" s="98">
        <f>SUM(AB49:AB52)</f>
        <v>240.9</v>
      </c>
    </row>
    <row r="49" spans="3:28" ht="16" thickBot="1" x14ac:dyDescent="0.4">
      <c r="C49" s="73" t="s">
        <v>129</v>
      </c>
      <c r="D49" s="414"/>
      <c r="E49" s="415"/>
      <c r="F49" s="416">
        <v>0.3</v>
      </c>
      <c r="G49" s="418"/>
      <c r="H49" s="417"/>
      <c r="I49" s="418"/>
      <c r="J49" s="417"/>
      <c r="K49" s="418"/>
      <c r="L49" s="417"/>
      <c r="M49" s="418"/>
      <c r="N49" s="417"/>
      <c r="O49" s="418"/>
      <c r="P49" s="417"/>
      <c r="Q49" s="418"/>
      <c r="R49" s="417"/>
      <c r="S49" s="418"/>
      <c r="T49" s="417"/>
      <c r="U49" s="418"/>
      <c r="V49" s="417"/>
      <c r="W49" s="418"/>
      <c r="X49" s="414"/>
      <c r="Y49" s="415"/>
      <c r="Z49" s="414"/>
      <c r="AA49" s="419"/>
      <c r="AB49" s="99">
        <f>SUM(D49:AA49)*$B$35/2</f>
        <v>21.9</v>
      </c>
    </row>
    <row r="50" spans="3:28" ht="16" thickBot="1" x14ac:dyDescent="0.4">
      <c r="C50" s="73" t="s">
        <v>130</v>
      </c>
      <c r="D50" s="414"/>
      <c r="E50" s="415"/>
      <c r="F50" s="417"/>
      <c r="G50" s="420">
        <v>0.3</v>
      </c>
      <c r="H50" s="416">
        <v>0.3</v>
      </c>
      <c r="I50" s="420">
        <v>0.3</v>
      </c>
      <c r="J50" s="416">
        <v>0.3</v>
      </c>
      <c r="K50" s="420">
        <v>0.3</v>
      </c>
      <c r="L50" s="417"/>
      <c r="M50" s="418"/>
      <c r="N50" s="417"/>
      <c r="O50" s="418"/>
      <c r="P50" s="417"/>
      <c r="Q50" s="418"/>
      <c r="R50" s="417"/>
      <c r="S50" s="418"/>
      <c r="T50" s="417"/>
      <c r="U50" s="418"/>
      <c r="V50" s="417"/>
      <c r="W50" s="418"/>
      <c r="X50" s="414"/>
      <c r="Y50" s="415"/>
      <c r="Z50" s="414"/>
      <c r="AA50" s="419"/>
      <c r="AB50" s="99">
        <f t="shared" ref="AB50:AB52" si="1">SUM(D50:AA50)*$B$35/2</f>
        <v>109.5</v>
      </c>
    </row>
    <row r="51" spans="3:28" ht="16" thickBot="1" x14ac:dyDescent="0.4">
      <c r="C51" s="73" t="s">
        <v>131</v>
      </c>
      <c r="D51" s="414"/>
      <c r="E51" s="415"/>
      <c r="F51" s="417"/>
      <c r="G51" s="418"/>
      <c r="H51" s="417"/>
      <c r="I51" s="418"/>
      <c r="J51" s="417"/>
      <c r="K51" s="418"/>
      <c r="L51" s="416">
        <v>0.3</v>
      </c>
      <c r="M51" s="420">
        <v>0.3</v>
      </c>
      <c r="N51" s="416">
        <v>0.3</v>
      </c>
      <c r="O51" s="420">
        <v>0.3</v>
      </c>
      <c r="P51" s="417"/>
      <c r="Q51" s="418"/>
      <c r="R51" s="417"/>
      <c r="S51" s="418"/>
      <c r="T51" s="417"/>
      <c r="U51" s="418"/>
      <c r="V51" s="417"/>
      <c r="W51" s="418"/>
      <c r="X51" s="414"/>
      <c r="Y51" s="415"/>
      <c r="Z51" s="414"/>
      <c r="AA51" s="419"/>
      <c r="AB51" s="99">
        <f t="shared" si="1"/>
        <v>87.6</v>
      </c>
    </row>
    <row r="52" spans="3:28" ht="16" thickBot="1" x14ac:dyDescent="0.4">
      <c r="C52" s="75" t="s">
        <v>151</v>
      </c>
      <c r="D52" s="421"/>
      <c r="E52" s="422"/>
      <c r="F52" s="423"/>
      <c r="G52" s="424"/>
      <c r="H52" s="423"/>
      <c r="I52" s="424"/>
      <c r="J52" s="423"/>
      <c r="K52" s="424"/>
      <c r="L52" s="423"/>
      <c r="M52" s="424"/>
      <c r="N52" s="423"/>
      <c r="O52" s="424"/>
      <c r="P52" s="444">
        <v>0.3</v>
      </c>
      <c r="Q52" s="424"/>
      <c r="R52" s="423"/>
      <c r="S52" s="424"/>
      <c r="T52" s="423"/>
      <c r="U52" s="424"/>
      <c r="V52" s="423"/>
      <c r="W52" s="424"/>
      <c r="X52" s="421"/>
      <c r="Y52" s="422"/>
      <c r="Z52" s="421"/>
      <c r="AA52" s="425"/>
      <c r="AB52" s="99">
        <f t="shared" si="1"/>
        <v>21.9</v>
      </c>
    </row>
    <row r="53" spans="3:28" ht="16.5" thickTop="1" thickBot="1" x14ac:dyDescent="0.4">
      <c r="C53" s="369" t="s">
        <v>132</v>
      </c>
      <c r="D53" s="426"/>
      <c r="E53" s="427"/>
      <c r="F53" s="426"/>
      <c r="G53" s="427"/>
      <c r="H53" s="426"/>
      <c r="I53" s="427"/>
      <c r="J53" s="426"/>
      <c r="K53" s="427"/>
      <c r="L53" s="428"/>
      <c r="M53" s="429"/>
      <c r="N53" s="428"/>
      <c r="O53" s="429"/>
      <c r="P53" s="428"/>
      <c r="Q53" s="431"/>
      <c r="R53" s="430"/>
      <c r="S53" s="431"/>
      <c r="T53" s="430"/>
      <c r="U53" s="431"/>
      <c r="V53" s="430"/>
      <c r="W53" s="431"/>
      <c r="X53" s="426"/>
      <c r="Y53" s="427"/>
      <c r="Z53" s="426"/>
      <c r="AA53" s="432"/>
      <c r="AB53" s="98">
        <f>SUM(AB54:AB56)</f>
        <v>153.29999999999998</v>
      </c>
    </row>
    <row r="54" spans="3:28" ht="16" thickBot="1" x14ac:dyDescent="0.4">
      <c r="C54" s="370" t="s">
        <v>125</v>
      </c>
      <c r="D54" s="401"/>
      <c r="E54" s="402"/>
      <c r="F54" s="401"/>
      <c r="G54" s="402"/>
      <c r="H54" s="401"/>
      <c r="I54" s="402"/>
      <c r="J54" s="401"/>
      <c r="K54" s="402"/>
      <c r="L54" s="403"/>
      <c r="M54" s="404"/>
      <c r="N54" s="403"/>
      <c r="O54" s="404"/>
      <c r="P54" s="403"/>
      <c r="Q54" s="434">
        <v>0.3</v>
      </c>
      <c r="R54" s="403"/>
      <c r="S54" s="404"/>
      <c r="T54" s="403"/>
      <c r="U54" s="404"/>
      <c r="V54" s="403"/>
      <c r="W54" s="404"/>
      <c r="X54" s="401"/>
      <c r="Y54" s="402"/>
      <c r="Z54" s="401"/>
      <c r="AA54" s="405"/>
      <c r="AB54" s="100">
        <f>SUM(D54:AA54)*$B$35/2</f>
        <v>21.9</v>
      </c>
    </row>
    <row r="55" spans="3:28" ht="16" thickBot="1" x14ac:dyDescent="0.4">
      <c r="C55" s="370" t="s">
        <v>133</v>
      </c>
      <c r="D55" s="401"/>
      <c r="E55" s="402"/>
      <c r="F55" s="401"/>
      <c r="G55" s="402"/>
      <c r="H55" s="401"/>
      <c r="I55" s="402"/>
      <c r="J55" s="401"/>
      <c r="K55" s="402"/>
      <c r="L55" s="403"/>
      <c r="M55" s="404"/>
      <c r="N55" s="403"/>
      <c r="O55" s="404"/>
      <c r="P55" s="403"/>
      <c r="Q55" s="404"/>
      <c r="R55" s="433">
        <v>0.3</v>
      </c>
      <c r="S55" s="434">
        <v>0.3</v>
      </c>
      <c r="T55" s="433">
        <v>0.3</v>
      </c>
      <c r="U55" s="404"/>
      <c r="V55" s="403"/>
      <c r="W55" s="404"/>
      <c r="X55" s="401"/>
      <c r="Y55" s="402"/>
      <c r="Z55" s="401"/>
      <c r="AA55" s="405"/>
      <c r="AB55" s="100">
        <f t="shared" ref="AB55:AB56" si="2">SUM(D55:AA55)*$B$35/2</f>
        <v>65.699999999999989</v>
      </c>
    </row>
    <row r="56" spans="3:28" ht="16" thickBot="1" x14ac:dyDescent="0.4">
      <c r="C56" s="371" t="s">
        <v>134</v>
      </c>
      <c r="D56" s="391"/>
      <c r="E56" s="395"/>
      <c r="F56" s="391"/>
      <c r="G56" s="395"/>
      <c r="H56" s="391"/>
      <c r="I56" s="395"/>
      <c r="J56" s="391"/>
      <c r="K56" s="395"/>
      <c r="L56" s="393"/>
      <c r="M56" s="394"/>
      <c r="N56" s="393"/>
      <c r="O56" s="394"/>
      <c r="P56" s="393"/>
      <c r="Q56" s="394"/>
      <c r="R56" s="393"/>
      <c r="S56" s="394"/>
      <c r="T56" s="393"/>
      <c r="U56" s="436">
        <v>0.3</v>
      </c>
      <c r="V56" s="435">
        <v>0.3</v>
      </c>
      <c r="W56" s="436">
        <v>0.3</v>
      </c>
      <c r="X56" s="391"/>
      <c r="Y56" s="395"/>
      <c r="Z56" s="391"/>
      <c r="AA56" s="396"/>
      <c r="AB56" s="100">
        <f t="shared" si="2"/>
        <v>65.699999999999989</v>
      </c>
    </row>
    <row r="57" spans="3:28" ht="16.5" thickTop="1" thickBot="1" x14ac:dyDescent="0.4">
      <c r="C57" s="368" t="s">
        <v>135</v>
      </c>
      <c r="D57" s="426"/>
      <c r="E57" s="427"/>
      <c r="F57" s="437"/>
      <c r="G57" s="438"/>
      <c r="H57" s="437"/>
      <c r="I57" s="438"/>
      <c r="J57" s="437"/>
      <c r="K57" s="438"/>
      <c r="L57" s="437"/>
      <c r="M57" s="438"/>
      <c r="N57" s="437"/>
      <c r="O57" s="438"/>
      <c r="P57" s="437"/>
      <c r="Q57" s="438"/>
      <c r="R57" s="437"/>
      <c r="S57" s="438"/>
      <c r="T57" s="428"/>
      <c r="U57" s="429"/>
      <c r="V57" s="428"/>
      <c r="W57" s="429"/>
      <c r="X57" s="426"/>
      <c r="Y57" s="427"/>
      <c r="Z57" s="426"/>
      <c r="AA57" s="432"/>
      <c r="AB57" s="98">
        <f>SUM(AB58:AB60)</f>
        <v>306.60000000000002</v>
      </c>
    </row>
    <row r="58" spans="3:28" ht="16" thickBot="1" x14ac:dyDescent="0.4">
      <c r="C58" s="367" t="s">
        <v>126</v>
      </c>
      <c r="D58" s="401"/>
      <c r="E58" s="402"/>
      <c r="F58" s="439">
        <v>0.3</v>
      </c>
      <c r="G58" s="440">
        <v>0.3</v>
      </c>
      <c r="H58" s="403"/>
      <c r="I58" s="404"/>
      <c r="J58" s="403"/>
      <c r="K58" s="404"/>
      <c r="L58" s="403"/>
      <c r="M58" s="404"/>
      <c r="N58" s="403"/>
      <c r="O58" s="404"/>
      <c r="P58" s="403"/>
      <c r="Q58" s="404"/>
      <c r="R58" s="403"/>
      <c r="S58" s="404"/>
      <c r="T58" s="401"/>
      <c r="U58" s="402"/>
      <c r="V58" s="401"/>
      <c r="W58" s="402"/>
      <c r="X58" s="401"/>
      <c r="Y58" s="402"/>
      <c r="Z58" s="401"/>
      <c r="AA58" s="405"/>
      <c r="AB58" s="100">
        <f>SUM(D58:AA58)*$B$35/2</f>
        <v>43.8</v>
      </c>
    </row>
    <row r="59" spans="3:28" ht="16" thickBot="1" x14ac:dyDescent="0.4">
      <c r="C59" s="367" t="s">
        <v>136</v>
      </c>
      <c r="D59" s="401"/>
      <c r="E59" s="402"/>
      <c r="F59" s="403"/>
      <c r="G59" s="404"/>
      <c r="H59" s="439">
        <v>0.3</v>
      </c>
      <c r="I59" s="440">
        <v>0.3</v>
      </c>
      <c r="J59" s="439">
        <v>0.3</v>
      </c>
      <c r="K59" s="440">
        <v>0.3</v>
      </c>
      <c r="L59" s="439">
        <v>0.3</v>
      </c>
      <c r="M59" s="440">
        <v>0.3</v>
      </c>
      <c r="N59" s="403"/>
      <c r="O59" s="404"/>
      <c r="P59" s="403"/>
      <c r="Q59" s="404"/>
      <c r="R59" s="403"/>
      <c r="S59" s="404"/>
      <c r="T59" s="401"/>
      <c r="U59" s="402"/>
      <c r="V59" s="401"/>
      <c r="W59" s="402"/>
      <c r="X59" s="401"/>
      <c r="Y59" s="402"/>
      <c r="Z59" s="401"/>
      <c r="AA59" s="405"/>
      <c r="AB59" s="100">
        <f t="shared" ref="AB59:AB60" si="3">SUM(D59:AA59)*$B$35/2</f>
        <v>131.4</v>
      </c>
    </row>
    <row r="60" spans="3:28" ht="16" thickBot="1" x14ac:dyDescent="0.4">
      <c r="C60" s="367" t="s">
        <v>137</v>
      </c>
      <c r="D60" s="401"/>
      <c r="E60" s="402"/>
      <c r="F60" s="403"/>
      <c r="G60" s="404"/>
      <c r="H60" s="403"/>
      <c r="I60" s="404"/>
      <c r="J60" s="403"/>
      <c r="K60" s="404"/>
      <c r="L60" s="403"/>
      <c r="M60" s="404"/>
      <c r="N60" s="439">
        <v>0.3</v>
      </c>
      <c r="O60" s="440">
        <v>0.3</v>
      </c>
      <c r="P60" s="439">
        <v>0.3</v>
      </c>
      <c r="Q60" s="440">
        <v>0.3</v>
      </c>
      <c r="R60" s="439">
        <v>0.3</v>
      </c>
      <c r="S60" s="440">
        <v>0.3</v>
      </c>
      <c r="T60" s="401"/>
      <c r="U60" s="402"/>
      <c r="V60" s="401"/>
      <c r="W60" s="402"/>
      <c r="X60" s="401"/>
      <c r="Y60" s="402"/>
      <c r="Z60" s="401"/>
      <c r="AA60" s="405"/>
      <c r="AB60" s="100">
        <f t="shared" si="3"/>
        <v>131.4</v>
      </c>
    </row>
    <row r="61" spans="3:28" ht="16.5" thickTop="1" thickBot="1" x14ac:dyDescent="0.4">
      <c r="C61" s="341" t="s">
        <v>138</v>
      </c>
      <c r="D61" s="83"/>
      <c r="E61" s="84"/>
      <c r="F61" s="406"/>
      <c r="G61" s="407"/>
      <c r="H61" s="406"/>
      <c r="I61" s="407"/>
      <c r="J61" s="406"/>
      <c r="K61" s="407"/>
      <c r="L61" s="406"/>
      <c r="M61" s="407"/>
      <c r="N61" s="406"/>
      <c r="O61" s="407"/>
      <c r="P61" s="406"/>
      <c r="Q61" s="407"/>
      <c r="R61" s="406"/>
      <c r="S61" s="407"/>
      <c r="T61" s="408"/>
      <c r="U61" s="409"/>
      <c r="V61" s="408"/>
      <c r="W61" s="409"/>
      <c r="X61" s="83"/>
      <c r="Y61" s="84"/>
      <c r="Z61" s="83"/>
      <c r="AA61" s="85"/>
      <c r="AB61" s="98">
        <f>SUM(AB62:AB63)</f>
        <v>87.6</v>
      </c>
    </row>
    <row r="62" spans="3:28" ht="16" thickBot="1" x14ac:dyDescent="0.4">
      <c r="C62" s="340" t="s">
        <v>139</v>
      </c>
      <c r="D62" s="389"/>
      <c r="E62" s="388"/>
      <c r="F62" s="399"/>
      <c r="G62" s="400"/>
      <c r="H62" s="399"/>
      <c r="I62" s="400"/>
      <c r="J62" s="399"/>
      <c r="K62" s="400"/>
      <c r="L62" s="399"/>
      <c r="M62" s="400"/>
      <c r="N62" s="399"/>
      <c r="O62" s="400"/>
      <c r="P62" s="399"/>
      <c r="Q62" s="400"/>
      <c r="R62" s="399"/>
      <c r="S62" s="400"/>
      <c r="T62" s="410">
        <v>0.3</v>
      </c>
      <c r="U62" s="411">
        <v>0.3</v>
      </c>
      <c r="V62" s="410">
        <v>0.3</v>
      </c>
      <c r="W62" s="388"/>
      <c r="X62" s="389"/>
      <c r="Y62" s="388"/>
      <c r="Z62" s="389"/>
      <c r="AA62" s="390"/>
      <c r="AB62" s="99">
        <f>SUM(D62:AA62)*$B$35/2</f>
        <v>65.699999999999989</v>
      </c>
    </row>
    <row r="63" spans="3:28" ht="16" thickBot="1" x14ac:dyDescent="0.4">
      <c r="C63" s="340" t="s">
        <v>140</v>
      </c>
      <c r="D63" s="389"/>
      <c r="E63" s="388"/>
      <c r="F63" s="399"/>
      <c r="G63" s="400"/>
      <c r="H63" s="399"/>
      <c r="I63" s="400"/>
      <c r="J63" s="399"/>
      <c r="K63" s="400"/>
      <c r="L63" s="399"/>
      <c r="M63" s="400"/>
      <c r="N63" s="399"/>
      <c r="O63" s="400"/>
      <c r="P63" s="399"/>
      <c r="Q63" s="400"/>
      <c r="R63" s="399"/>
      <c r="S63" s="400"/>
      <c r="T63" s="389"/>
      <c r="U63" s="388"/>
      <c r="V63" s="389"/>
      <c r="W63" s="411">
        <v>0.3</v>
      </c>
      <c r="X63" s="389"/>
      <c r="Y63" s="388"/>
      <c r="Z63" s="389"/>
      <c r="AA63" s="390"/>
      <c r="AB63" s="99">
        <f>SUM(D63:AA63)*$B$35/2</f>
        <v>21.9</v>
      </c>
    </row>
    <row r="64" spans="3:28" ht="16.5" thickTop="1" thickBot="1" x14ac:dyDescent="0.4">
      <c r="C64" s="38" t="s">
        <v>21</v>
      </c>
      <c r="D64" s="83"/>
      <c r="E64" s="84"/>
      <c r="F64" s="83"/>
      <c r="G64" s="84"/>
      <c r="H64" s="83"/>
      <c r="I64" s="84"/>
      <c r="J64" s="83"/>
      <c r="K64" s="84"/>
      <c r="L64" s="83"/>
      <c r="M64" s="84"/>
      <c r="N64" s="83"/>
      <c r="O64" s="84"/>
      <c r="P64" s="83"/>
      <c r="Q64" s="84"/>
      <c r="R64" s="83"/>
      <c r="S64" s="84"/>
      <c r="T64" s="83"/>
      <c r="U64" s="84"/>
      <c r="V64" s="83"/>
      <c r="W64" s="84"/>
      <c r="X64" s="81"/>
      <c r="Y64" s="82"/>
      <c r="Z64" s="81"/>
      <c r="AA64" s="90"/>
      <c r="AB64" s="98">
        <f>SUM(AB65:AB66)</f>
        <v>292</v>
      </c>
    </row>
    <row r="65" spans="3:31" ht="16" thickBot="1" x14ac:dyDescent="0.4">
      <c r="C65" s="44" t="s">
        <v>22</v>
      </c>
      <c r="D65" s="389"/>
      <c r="E65" s="388"/>
      <c r="F65" s="389"/>
      <c r="G65" s="388"/>
      <c r="H65" s="389"/>
      <c r="I65" s="388"/>
      <c r="J65" s="389"/>
      <c r="K65" s="388"/>
      <c r="L65" s="389"/>
      <c r="M65" s="388"/>
      <c r="N65" s="389"/>
      <c r="O65" s="388"/>
      <c r="P65" s="389"/>
      <c r="Q65" s="388"/>
      <c r="R65" s="389"/>
      <c r="S65" s="388"/>
      <c r="T65" s="389"/>
      <c r="U65" s="388"/>
      <c r="V65" s="389"/>
      <c r="W65" s="388"/>
      <c r="X65" s="387">
        <v>1</v>
      </c>
      <c r="Y65" s="441">
        <v>1</v>
      </c>
      <c r="Z65" s="399"/>
      <c r="AA65" s="390"/>
      <c r="AB65" s="99">
        <f>SUM(D65:AA65)*$B$35/2</f>
        <v>146</v>
      </c>
    </row>
    <row r="66" spans="3:31" ht="16" thickBot="1" x14ac:dyDescent="0.4">
      <c r="C66" s="46" t="s">
        <v>23</v>
      </c>
      <c r="D66" s="391"/>
      <c r="E66" s="395"/>
      <c r="F66" s="391"/>
      <c r="G66" s="395"/>
      <c r="H66" s="391"/>
      <c r="I66" s="395"/>
      <c r="J66" s="391"/>
      <c r="K66" s="395"/>
      <c r="L66" s="391"/>
      <c r="M66" s="395"/>
      <c r="N66" s="391"/>
      <c r="O66" s="395"/>
      <c r="P66" s="391"/>
      <c r="Q66" s="395"/>
      <c r="R66" s="391"/>
      <c r="S66" s="395"/>
      <c r="T66" s="391"/>
      <c r="U66" s="395"/>
      <c r="V66" s="391"/>
      <c r="W66" s="395"/>
      <c r="X66" s="391"/>
      <c r="Y66" s="395"/>
      <c r="Z66" s="442">
        <v>1</v>
      </c>
      <c r="AA66" s="443">
        <v>1</v>
      </c>
      <c r="AB66" s="100">
        <f>SUM(D66:AA66)*$B$35/2</f>
        <v>146</v>
      </c>
      <c r="AE66" t="s">
        <v>24</v>
      </c>
    </row>
    <row r="67" spans="3:31" ht="16.5" thickTop="1" thickBot="1" x14ac:dyDescent="0.4">
      <c r="C67" s="91" t="s">
        <v>9</v>
      </c>
      <c r="D67" s="92">
        <f t="shared" ref="D67:AA67" si="4">SUM(D39:D66)</f>
        <v>1</v>
      </c>
      <c r="E67" s="93">
        <f t="shared" si="4"/>
        <v>1</v>
      </c>
      <c r="F67" s="93">
        <f t="shared" si="4"/>
        <v>1</v>
      </c>
      <c r="G67" s="93">
        <f t="shared" si="4"/>
        <v>1</v>
      </c>
      <c r="H67" s="93">
        <f t="shared" si="4"/>
        <v>1</v>
      </c>
      <c r="I67" s="93">
        <f t="shared" si="4"/>
        <v>1</v>
      </c>
      <c r="J67" s="93">
        <f t="shared" si="4"/>
        <v>1</v>
      </c>
      <c r="K67" s="93">
        <f t="shared" si="4"/>
        <v>1</v>
      </c>
      <c r="L67" s="93">
        <f t="shared" si="4"/>
        <v>1</v>
      </c>
      <c r="M67" s="93">
        <f t="shared" si="4"/>
        <v>1</v>
      </c>
      <c r="N67" s="93">
        <f t="shared" si="4"/>
        <v>1</v>
      </c>
      <c r="O67" s="93">
        <f t="shared" si="4"/>
        <v>1</v>
      </c>
      <c r="P67" s="93">
        <f t="shared" si="4"/>
        <v>1</v>
      </c>
      <c r="Q67" s="93">
        <f t="shared" si="4"/>
        <v>1</v>
      </c>
      <c r="R67" s="93">
        <f t="shared" si="4"/>
        <v>1</v>
      </c>
      <c r="S67" s="93">
        <f t="shared" si="4"/>
        <v>1</v>
      </c>
      <c r="T67" s="93">
        <f t="shared" si="4"/>
        <v>1</v>
      </c>
      <c r="U67" s="93">
        <f t="shared" si="4"/>
        <v>1</v>
      </c>
      <c r="V67" s="93">
        <f t="shared" si="4"/>
        <v>1</v>
      </c>
      <c r="W67" s="93">
        <f t="shared" si="4"/>
        <v>1</v>
      </c>
      <c r="X67" s="93">
        <f t="shared" si="4"/>
        <v>1</v>
      </c>
      <c r="Y67" s="93">
        <f t="shared" si="4"/>
        <v>1</v>
      </c>
      <c r="Z67" s="93">
        <f t="shared" si="4"/>
        <v>1</v>
      </c>
      <c r="AA67" s="94">
        <f t="shared" si="4"/>
        <v>1</v>
      </c>
      <c r="AB67" s="101">
        <f>AB39+AB42+AB48+AB53+AB57+AB61+AB64</f>
        <v>1752</v>
      </c>
    </row>
    <row r="68" spans="3:31" ht="16.5" thickTop="1" thickBot="1" x14ac:dyDescent="0.4">
      <c r="AD68" t="s">
        <v>24</v>
      </c>
    </row>
    <row r="69" spans="3:31" ht="16.5" thickTop="1" thickBot="1" x14ac:dyDescent="0.4">
      <c r="C69" s="95" t="s">
        <v>142</v>
      </c>
      <c r="D69" s="462">
        <v>1</v>
      </c>
      <c r="E69" s="462"/>
      <c r="F69" s="462">
        <v>2</v>
      </c>
      <c r="G69" s="462"/>
      <c r="H69" s="462">
        <v>3</v>
      </c>
      <c r="I69" s="462"/>
      <c r="J69" s="462">
        <v>4</v>
      </c>
      <c r="K69" s="462"/>
      <c r="L69" s="462">
        <v>5</v>
      </c>
      <c r="M69" s="462"/>
      <c r="N69" s="462">
        <v>6</v>
      </c>
      <c r="O69" s="462"/>
      <c r="P69" s="462">
        <v>7</v>
      </c>
      <c r="Q69" s="462"/>
      <c r="R69" s="462">
        <v>8</v>
      </c>
      <c r="S69" s="462"/>
      <c r="T69" s="462">
        <v>9</v>
      </c>
      <c r="U69" s="462"/>
      <c r="V69" s="462">
        <v>10</v>
      </c>
      <c r="W69" s="462"/>
      <c r="X69" s="462">
        <v>11</v>
      </c>
      <c r="Y69" s="462"/>
      <c r="Z69" s="462">
        <v>12</v>
      </c>
      <c r="AA69" s="463"/>
      <c r="AB69" s="97" t="s">
        <v>25</v>
      </c>
    </row>
    <row r="70" spans="3:31" ht="16.5" thickTop="1" thickBot="1" x14ac:dyDescent="0.4">
      <c r="C70" s="38" t="s">
        <v>18</v>
      </c>
      <c r="D70" s="81"/>
      <c r="E70" s="82"/>
      <c r="F70" s="406"/>
      <c r="G70" s="407"/>
      <c r="H70" s="83"/>
      <c r="I70" s="84"/>
      <c r="J70" s="83"/>
      <c r="K70" s="84"/>
      <c r="L70" s="83"/>
      <c r="M70" s="84"/>
      <c r="N70" s="83"/>
      <c r="O70" s="84"/>
      <c r="P70" s="83"/>
      <c r="Q70" s="84"/>
      <c r="R70" s="83"/>
      <c r="S70" s="84"/>
      <c r="T70" s="83"/>
      <c r="U70" s="84"/>
      <c r="V70" s="83"/>
      <c r="W70" s="84"/>
      <c r="X70" s="83"/>
      <c r="Y70" s="84"/>
      <c r="Z70" s="83"/>
      <c r="AA70" s="85"/>
      <c r="AB70" s="98">
        <f>SUM(AB71:AB72)</f>
        <v>146</v>
      </c>
    </row>
    <row r="71" spans="3:31" ht="16" thickBot="1" x14ac:dyDescent="0.4">
      <c r="C71" s="44" t="s">
        <v>19</v>
      </c>
      <c r="D71" s="387">
        <v>1</v>
      </c>
      <c r="E71" s="388"/>
      <c r="F71" s="389"/>
      <c r="G71" s="388"/>
      <c r="H71" s="389"/>
      <c r="I71" s="388"/>
      <c r="J71" s="389"/>
      <c r="K71" s="388"/>
      <c r="L71" s="389"/>
      <c r="M71" s="388"/>
      <c r="N71" s="389"/>
      <c r="O71" s="388"/>
      <c r="P71" s="389"/>
      <c r="Q71" s="388"/>
      <c r="R71" s="389"/>
      <c r="S71" s="388"/>
      <c r="T71" s="389"/>
      <c r="U71" s="388"/>
      <c r="V71" s="389"/>
      <c r="W71" s="388"/>
      <c r="X71" s="389"/>
      <c r="Y71" s="388"/>
      <c r="Z71" s="389"/>
      <c r="AA71" s="390"/>
      <c r="AB71" s="99">
        <f>SUM(D71:AA71)*$B$35/2</f>
        <v>73</v>
      </c>
    </row>
    <row r="72" spans="3:31" ht="16" thickBot="1" x14ac:dyDescent="0.4">
      <c r="C72" s="46" t="s">
        <v>20</v>
      </c>
      <c r="D72" s="391"/>
      <c r="E72" s="392">
        <v>1</v>
      </c>
      <c r="F72" s="393"/>
      <c r="G72" s="394"/>
      <c r="H72" s="391"/>
      <c r="I72" s="395"/>
      <c r="J72" s="391"/>
      <c r="K72" s="395"/>
      <c r="L72" s="391"/>
      <c r="M72" s="395"/>
      <c r="N72" s="391"/>
      <c r="O72" s="395"/>
      <c r="P72" s="391"/>
      <c r="Q72" s="395"/>
      <c r="R72" s="391"/>
      <c r="S72" s="395"/>
      <c r="T72" s="391"/>
      <c r="U72" s="395"/>
      <c r="V72" s="391"/>
      <c r="W72" s="395"/>
      <c r="X72" s="391"/>
      <c r="Y72" s="395"/>
      <c r="Z72" s="391"/>
      <c r="AA72" s="396"/>
      <c r="AB72" s="100">
        <f>SUM(D72:AA72)*$B$35/2</f>
        <v>73</v>
      </c>
    </row>
    <row r="73" spans="3:31" ht="16.5" thickTop="1" thickBot="1" x14ac:dyDescent="0.4">
      <c r="C73" s="53" t="s">
        <v>121</v>
      </c>
      <c r="D73" s="83"/>
      <c r="E73" s="84"/>
      <c r="F73" s="86"/>
      <c r="G73" s="87"/>
      <c r="H73" s="86"/>
      <c r="I73" s="87"/>
      <c r="J73" s="86"/>
      <c r="K73" s="87"/>
      <c r="L73" s="86"/>
      <c r="M73" s="87"/>
      <c r="N73" s="86"/>
      <c r="O73" s="87"/>
      <c r="P73" s="86"/>
      <c r="Q73" s="87"/>
      <c r="R73" s="86"/>
      <c r="S73" s="87"/>
      <c r="T73" s="86"/>
      <c r="U73" s="87"/>
      <c r="V73" s="86"/>
      <c r="W73" s="87"/>
      <c r="X73" s="83"/>
      <c r="Y73" s="84"/>
      <c r="Z73" s="83"/>
      <c r="AA73" s="85"/>
      <c r="AB73" s="98">
        <f>SUM(AB74:AB78)</f>
        <v>657</v>
      </c>
    </row>
    <row r="74" spans="3:31" ht="16" thickBot="1" x14ac:dyDescent="0.4">
      <c r="C74" s="56" t="s">
        <v>122</v>
      </c>
      <c r="D74" s="389"/>
      <c r="E74" s="388"/>
      <c r="F74" s="397">
        <v>0.5</v>
      </c>
      <c r="G74" s="398">
        <v>0.5</v>
      </c>
      <c r="H74" s="399"/>
      <c r="I74" s="400"/>
      <c r="J74" s="399"/>
      <c r="K74" s="400"/>
      <c r="L74" s="399"/>
      <c r="M74" s="400"/>
      <c r="N74" s="399"/>
      <c r="O74" s="400"/>
      <c r="P74" s="399"/>
      <c r="Q74" s="400"/>
      <c r="R74" s="399"/>
      <c r="S74" s="400"/>
      <c r="T74" s="399"/>
      <c r="U74" s="400"/>
      <c r="V74" s="399"/>
      <c r="W74" s="400"/>
      <c r="X74" s="389"/>
      <c r="Y74" s="388"/>
      <c r="Z74" s="389"/>
      <c r="AA74" s="390"/>
      <c r="AB74" s="99">
        <f t="shared" ref="AB74" si="5">SUM(D74:AA74)*$B$35/2</f>
        <v>73</v>
      </c>
    </row>
    <row r="75" spans="3:31" ht="16" thickBot="1" x14ac:dyDescent="0.4">
      <c r="C75" s="56" t="s">
        <v>123</v>
      </c>
      <c r="D75" s="389"/>
      <c r="E75" s="388"/>
      <c r="F75" s="389"/>
      <c r="G75" s="388"/>
      <c r="H75" s="397">
        <v>0.5</v>
      </c>
      <c r="I75" s="397">
        <v>0.5</v>
      </c>
      <c r="J75" s="397">
        <v>0.5</v>
      </c>
      <c r="K75" s="397">
        <v>0.5</v>
      </c>
      <c r="L75" s="399"/>
      <c r="M75" s="400"/>
      <c r="N75" s="399"/>
      <c r="O75" s="400"/>
      <c r="P75" s="399"/>
      <c r="Q75" s="400"/>
      <c r="R75" s="399"/>
      <c r="S75" s="400"/>
      <c r="T75" s="399"/>
      <c r="U75" s="400"/>
      <c r="V75" s="399"/>
      <c r="W75" s="400"/>
      <c r="X75" s="389"/>
      <c r="Y75" s="388"/>
      <c r="Z75" s="389"/>
      <c r="AA75" s="390"/>
      <c r="AB75" s="99">
        <f>SUM(D75:AA75)*$B$35/2</f>
        <v>146</v>
      </c>
    </row>
    <row r="76" spans="3:31" ht="16" thickBot="1" x14ac:dyDescent="0.4">
      <c r="C76" s="56" t="s">
        <v>124</v>
      </c>
      <c r="D76" s="389"/>
      <c r="E76" s="388"/>
      <c r="F76" s="389"/>
      <c r="G76" s="388"/>
      <c r="H76" s="399"/>
      <c r="I76" s="400"/>
      <c r="J76" s="399"/>
      <c r="K76" s="400"/>
      <c r="L76" s="397">
        <v>0.5</v>
      </c>
      <c r="M76" s="397">
        <v>0.5</v>
      </c>
      <c r="N76" s="397">
        <v>0.5</v>
      </c>
      <c r="O76" s="397">
        <v>0.5</v>
      </c>
      <c r="P76" s="397">
        <v>0.5</v>
      </c>
      <c r="Q76" s="397">
        <v>0.5</v>
      </c>
      <c r="R76" s="399"/>
      <c r="S76" s="400"/>
      <c r="T76" s="399"/>
      <c r="U76" s="400"/>
      <c r="V76" s="399"/>
      <c r="W76" s="400"/>
      <c r="X76" s="389"/>
      <c r="Y76" s="388"/>
      <c r="Z76" s="389"/>
      <c r="AA76" s="390"/>
      <c r="AB76" s="99">
        <f t="shared" ref="AB76:AB78" si="6">SUM(D76:AA76)*$B$35/2</f>
        <v>219</v>
      </c>
    </row>
    <row r="77" spans="3:31" ht="16" thickBot="1" x14ac:dyDescent="0.4">
      <c r="C77" s="336" t="s">
        <v>150</v>
      </c>
      <c r="D77" s="401"/>
      <c r="E77" s="402"/>
      <c r="F77" s="401"/>
      <c r="G77" s="402"/>
      <c r="H77" s="403"/>
      <c r="I77" s="404"/>
      <c r="J77" s="403"/>
      <c r="K77" s="404"/>
      <c r="L77" s="403"/>
      <c r="M77" s="404"/>
      <c r="N77" s="403"/>
      <c r="O77" s="404"/>
      <c r="P77" s="403"/>
      <c r="Q77" s="404"/>
      <c r="R77" s="397">
        <v>0.5</v>
      </c>
      <c r="S77" s="397">
        <v>0.5</v>
      </c>
      <c r="T77" s="397">
        <v>0.5</v>
      </c>
      <c r="U77" s="397">
        <v>0.5</v>
      </c>
      <c r="V77" s="403"/>
      <c r="W77" s="404"/>
      <c r="X77" s="401"/>
      <c r="Y77" s="402"/>
      <c r="Z77" s="401"/>
      <c r="AA77" s="405"/>
      <c r="AB77" s="99">
        <f t="shared" si="6"/>
        <v>146</v>
      </c>
    </row>
    <row r="78" spans="3:31" ht="16" thickBot="1" x14ac:dyDescent="0.4">
      <c r="C78" s="57" t="s">
        <v>141</v>
      </c>
      <c r="D78" s="391"/>
      <c r="E78" s="395"/>
      <c r="F78" s="391"/>
      <c r="G78" s="395"/>
      <c r="H78" s="393"/>
      <c r="I78" s="394"/>
      <c r="J78" s="393"/>
      <c r="K78" s="394"/>
      <c r="L78" s="393"/>
      <c r="M78" s="394"/>
      <c r="N78" s="393"/>
      <c r="O78" s="394"/>
      <c r="P78" s="393"/>
      <c r="Q78" s="394"/>
      <c r="R78" s="393"/>
      <c r="S78" s="394"/>
      <c r="T78" s="393"/>
      <c r="U78" s="394"/>
      <c r="V78" s="397">
        <v>0.5</v>
      </c>
      <c r="W78" s="397">
        <v>0.5</v>
      </c>
      <c r="X78" s="391"/>
      <c r="Y78" s="395"/>
      <c r="Z78" s="391"/>
      <c r="AA78" s="396"/>
      <c r="AB78" s="100">
        <f t="shared" si="6"/>
        <v>73</v>
      </c>
    </row>
    <row r="79" spans="3:31" ht="16.5" thickTop="1" thickBot="1" x14ac:dyDescent="0.4">
      <c r="C79" s="360" t="s">
        <v>128</v>
      </c>
      <c r="D79" s="83"/>
      <c r="E79" s="84"/>
      <c r="F79" s="412"/>
      <c r="G79" s="413"/>
      <c r="H79" s="412"/>
      <c r="I79" s="413"/>
      <c r="J79" s="412"/>
      <c r="K79" s="413"/>
      <c r="L79" s="412"/>
      <c r="M79" s="413"/>
      <c r="N79" s="412"/>
      <c r="O79" s="413"/>
      <c r="P79" s="412"/>
      <c r="Q79" s="407"/>
      <c r="R79" s="406"/>
      <c r="S79" s="407"/>
      <c r="T79" s="406"/>
      <c r="U79" s="407"/>
      <c r="V79" s="406"/>
      <c r="W79" s="407"/>
      <c r="X79" s="83"/>
      <c r="Y79" s="84"/>
      <c r="Z79" s="83"/>
      <c r="AA79" s="85"/>
      <c r="AB79" s="98">
        <f>SUM(AB80:AB83)</f>
        <v>200.75</v>
      </c>
    </row>
    <row r="80" spans="3:31" ht="16" thickBot="1" x14ac:dyDescent="0.4">
      <c r="C80" s="73" t="s">
        <v>129</v>
      </c>
      <c r="D80" s="414"/>
      <c r="E80" s="415"/>
      <c r="F80" s="416">
        <v>0.25</v>
      </c>
      <c r="G80" s="418"/>
      <c r="H80" s="417"/>
      <c r="I80" s="418"/>
      <c r="J80" s="417"/>
      <c r="K80" s="418"/>
      <c r="L80" s="417"/>
      <c r="M80" s="418"/>
      <c r="N80" s="417"/>
      <c r="O80" s="418"/>
      <c r="P80" s="417"/>
      <c r="Q80" s="418"/>
      <c r="R80" s="417"/>
      <c r="S80" s="418"/>
      <c r="T80" s="417"/>
      <c r="U80" s="418"/>
      <c r="V80" s="417"/>
      <c r="W80" s="418"/>
      <c r="X80" s="414"/>
      <c r="Y80" s="415"/>
      <c r="Z80" s="414"/>
      <c r="AA80" s="419"/>
      <c r="AB80" s="99">
        <f>SUM(D80:AA80)*$B$35/2</f>
        <v>18.25</v>
      </c>
    </row>
    <row r="81" spans="3:28" ht="16" thickBot="1" x14ac:dyDescent="0.4">
      <c r="C81" s="73" t="s">
        <v>130</v>
      </c>
      <c r="D81" s="414"/>
      <c r="E81" s="415"/>
      <c r="F81" s="417"/>
      <c r="G81" s="420">
        <v>0.25</v>
      </c>
      <c r="H81" s="416">
        <v>0.25</v>
      </c>
      <c r="I81" s="420">
        <v>0.25</v>
      </c>
      <c r="J81" s="416">
        <v>0.25</v>
      </c>
      <c r="K81" s="420">
        <v>0.25</v>
      </c>
      <c r="L81" s="417"/>
      <c r="M81" s="418"/>
      <c r="N81" s="417"/>
      <c r="O81" s="418"/>
      <c r="P81" s="417"/>
      <c r="Q81" s="418"/>
      <c r="R81" s="417"/>
      <c r="S81" s="418"/>
      <c r="T81" s="417"/>
      <c r="U81" s="418"/>
      <c r="V81" s="417"/>
      <c r="W81" s="418"/>
      <c r="X81" s="414"/>
      <c r="Y81" s="415"/>
      <c r="Z81" s="414"/>
      <c r="AA81" s="419"/>
      <c r="AB81" s="99">
        <f t="shared" ref="AB81:AB83" si="7">SUM(D81:AA81)*$B$35/2</f>
        <v>91.25</v>
      </c>
    </row>
    <row r="82" spans="3:28" ht="16" thickBot="1" x14ac:dyDescent="0.4">
      <c r="C82" s="73" t="s">
        <v>131</v>
      </c>
      <c r="D82" s="414"/>
      <c r="E82" s="415"/>
      <c r="F82" s="417"/>
      <c r="G82" s="418"/>
      <c r="H82" s="417"/>
      <c r="I82" s="418"/>
      <c r="J82" s="417"/>
      <c r="K82" s="418"/>
      <c r="L82" s="416">
        <v>0.25</v>
      </c>
      <c r="M82" s="420">
        <v>0.25</v>
      </c>
      <c r="N82" s="416">
        <v>0.25</v>
      </c>
      <c r="O82" s="420">
        <v>0.25</v>
      </c>
      <c r="P82" s="417"/>
      <c r="Q82" s="418"/>
      <c r="R82" s="417"/>
      <c r="S82" s="418"/>
      <c r="T82" s="417"/>
      <c r="U82" s="418"/>
      <c r="V82" s="417"/>
      <c r="W82" s="418"/>
      <c r="X82" s="414"/>
      <c r="Y82" s="415"/>
      <c r="Z82" s="414"/>
      <c r="AA82" s="419"/>
      <c r="AB82" s="99">
        <f t="shared" si="7"/>
        <v>73</v>
      </c>
    </row>
    <row r="83" spans="3:28" ht="16" thickBot="1" x14ac:dyDescent="0.4">
      <c r="C83" s="75" t="s">
        <v>151</v>
      </c>
      <c r="D83" s="421"/>
      <c r="E83" s="422"/>
      <c r="F83" s="423"/>
      <c r="G83" s="424"/>
      <c r="H83" s="423"/>
      <c r="I83" s="424"/>
      <c r="J83" s="423"/>
      <c r="K83" s="424"/>
      <c r="L83" s="423"/>
      <c r="M83" s="424"/>
      <c r="N83" s="423"/>
      <c r="O83" s="424"/>
      <c r="P83" s="444">
        <v>0.25</v>
      </c>
      <c r="Q83" s="424"/>
      <c r="R83" s="423"/>
      <c r="S83" s="424"/>
      <c r="T83" s="423"/>
      <c r="U83" s="424"/>
      <c r="V83" s="423"/>
      <c r="W83" s="424"/>
      <c r="X83" s="421"/>
      <c r="Y83" s="422"/>
      <c r="Z83" s="421"/>
      <c r="AA83" s="425"/>
      <c r="AB83" s="99">
        <f t="shared" si="7"/>
        <v>18.25</v>
      </c>
    </row>
    <row r="84" spans="3:28" ht="16.5" thickTop="1" thickBot="1" x14ac:dyDescent="0.4">
      <c r="C84" s="369" t="s">
        <v>132</v>
      </c>
      <c r="D84" s="426"/>
      <c r="E84" s="427"/>
      <c r="F84" s="426"/>
      <c r="G84" s="427"/>
      <c r="H84" s="426"/>
      <c r="I84" s="427"/>
      <c r="J84" s="426"/>
      <c r="K84" s="427"/>
      <c r="L84" s="428"/>
      <c r="M84" s="429"/>
      <c r="N84" s="428"/>
      <c r="O84" s="429"/>
      <c r="P84" s="428"/>
      <c r="Q84" s="431"/>
      <c r="R84" s="430"/>
      <c r="S84" s="431"/>
      <c r="T84" s="430"/>
      <c r="U84" s="431"/>
      <c r="V84" s="430"/>
      <c r="W84" s="431"/>
      <c r="X84" s="426"/>
      <c r="Y84" s="427"/>
      <c r="Z84" s="426"/>
      <c r="AA84" s="432"/>
      <c r="AB84" s="98">
        <f>SUM(AB85:AB87)</f>
        <v>127.75</v>
      </c>
    </row>
    <row r="85" spans="3:28" ht="16" thickBot="1" x14ac:dyDescent="0.4">
      <c r="C85" s="370" t="s">
        <v>125</v>
      </c>
      <c r="D85" s="401"/>
      <c r="E85" s="402"/>
      <c r="F85" s="401"/>
      <c r="G85" s="402"/>
      <c r="H85" s="401"/>
      <c r="I85" s="402"/>
      <c r="J85" s="401"/>
      <c r="K85" s="402"/>
      <c r="L85" s="403"/>
      <c r="M85" s="404"/>
      <c r="N85" s="403"/>
      <c r="O85" s="404"/>
      <c r="P85" s="403"/>
      <c r="Q85" s="434">
        <v>0.25</v>
      </c>
      <c r="R85" s="403"/>
      <c r="S85" s="404"/>
      <c r="T85" s="403"/>
      <c r="U85" s="404"/>
      <c r="V85" s="403"/>
      <c r="W85" s="404"/>
      <c r="X85" s="401"/>
      <c r="Y85" s="402"/>
      <c r="Z85" s="401"/>
      <c r="AA85" s="405"/>
      <c r="AB85" s="100">
        <f>SUM(D85:AA85)*$B$35/2</f>
        <v>18.25</v>
      </c>
    </row>
    <row r="86" spans="3:28" ht="16" thickBot="1" x14ac:dyDescent="0.4">
      <c r="C86" s="370" t="s">
        <v>133</v>
      </c>
      <c r="D86" s="401"/>
      <c r="E86" s="402"/>
      <c r="F86" s="401"/>
      <c r="G86" s="402"/>
      <c r="H86" s="401"/>
      <c r="I86" s="402"/>
      <c r="J86" s="401"/>
      <c r="K86" s="402"/>
      <c r="L86" s="403"/>
      <c r="M86" s="404"/>
      <c r="N86" s="403"/>
      <c r="O86" s="404"/>
      <c r="P86" s="403"/>
      <c r="Q86" s="404"/>
      <c r="R86" s="433">
        <v>0.25</v>
      </c>
      <c r="S86" s="434">
        <v>0.25</v>
      </c>
      <c r="T86" s="433">
        <v>0.25</v>
      </c>
      <c r="U86" s="404"/>
      <c r="V86" s="403"/>
      <c r="W86" s="404"/>
      <c r="X86" s="401"/>
      <c r="Y86" s="402"/>
      <c r="Z86" s="401"/>
      <c r="AA86" s="405"/>
      <c r="AB86" s="100">
        <f t="shared" ref="AB86:AB87" si="8">SUM(D86:AA86)*$B$35/2</f>
        <v>54.75</v>
      </c>
    </row>
    <row r="87" spans="3:28" ht="16" thickBot="1" x14ac:dyDescent="0.4">
      <c r="C87" s="371" t="s">
        <v>134</v>
      </c>
      <c r="D87" s="391"/>
      <c r="E87" s="395"/>
      <c r="F87" s="391"/>
      <c r="G87" s="395"/>
      <c r="H87" s="391"/>
      <c r="I87" s="395"/>
      <c r="J87" s="391"/>
      <c r="K87" s="395"/>
      <c r="L87" s="393"/>
      <c r="M87" s="394"/>
      <c r="N87" s="393"/>
      <c r="O87" s="394"/>
      <c r="P87" s="393"/>
      <c r="Q87" s="394"/>
      <c r="R87" s="393"/>
      <c r="S87" s="394"/>
      <c r="T87" s="393"/>
      <c r="U87" s="436">
        <v>0.25</v>
      </c>
      <c r="V87" s="435">
        <v>0.25</v>
      </c>
      <c r="W87" s="436">
        <v>0.25</v>
      </c>
      <c r="X87" s="391"/>
      <c r="Y87" s="395"/>
      <c r="Z87" s="391"/>
      <c r="AA87" s="396"/>
      <c r="AB87" s="100">
        <f t="shared" si="8"/>
        <v>54.75</v>
      </c>
    </row>
    <row r="88" spans="3:28" ht="16.5" thickTop="1" thickBot="1" x14ac:dyDescent="0.4">
      <c r="C88" s="368" t="s">
        <v>135</v>
      </c>
      <c r="D88" s="426"/>
      <c r="E88" s="427"/>
      <c r="F88" s="437"/>
      <c r="G88" s="438"/>
      <c r="H88" s="437"/>
      <c r="I88" s="438"/>
      <c r="J88" s="437"/>
      <c r="K88" s="438"/>
      <c r="L88" s="437"/>
      <c r="M88" s="438"/>
      <c r="N88" s="437"/>
      <c r="O88" s="438"/>
      <c r="P88" s="437"/>
      <c r="Q88" s="438"/>
      <c r="R88" s="437"/>
      <c r="S88" s="438"/>
      <c r="T88" s="428"/>
      <c r="U88" s="429"/>
      <c r="V88" s="428"/>
      <c r="W88" s="429"/>
      <c r="X88" s="426"/>
      <c r="Y88" s="427"/>
      <c r="Z88" s="426"/>
      <c r="AA88" s="432"/>
      <c r="AB88" s="98">
        <f>SUM(AB89:AB91)</f>
        <v>255.5</v>
      </c>
    </row>
    <row r="89" spans="3:28" ht="16" thickBot="1" x14ac:dyDescent="0.4">
      <c r="C89" s="367" t="s">
        <v>126</v>
      </c>
      <c r="D89" s="401"/>
      <c r="E89" s="402"/>
      <c r="F89" s="439">
        <v>0.25</v>
      </c>
      <c r="G89" s="440">
        <v>0.25</v>
      </c>
      <c r="H89" s="403"/>
      <c r="I89" s="404"/>
      <c r="J89" s="403"/>
      <c r="K89" s="404"/>
      <c r="L89" s="403"/>
      <c r="M89" s="404"/>
      <c r="N89" s="403"/>
      <c r="O89" s="404"/>
      <c r="P89" s="403"/>
      <c r="Q89" s="404"/>
      <c r="R89" s="403"/>
      <c r="S89" s="404"/>
      <c r="T89" s="401"/>
      <c r="U89" s="402"/>
      <c r="V89" s="401"/>
      <c r="W89" s="402"/>
      <c r="X89" s="401"/>
      <c r="Y89" s="402"/>
      <c r="Z89" s="401"/>
      <c r="AA89" s="405"/>
      <c r="AB89" s="100">
        <f>SUM(D89:AA89)*$B$35/2</f>
        <v>36.5</v>
      </c>
    </row>
    <row r="90" spans="3:28" ht="16" thickBot="1" x14ac:dyDescent="0.4">
      <c r="C90" s="367" t="s">
        <v>136</v>
      </c>
      <c r="D90" s="401"/>
      <c r="E90" s="402"/>
      <c r="F90" s="403"/>
      <c r="G90" s="404"/>
      <c r="H90" s="439">
        <v>0.25</v>
      </c>
      <c r="I90" s="440">
        <v>0.25</v>
      </c>
      <c r="J90" s="439">
        <v>0.25</v>
      </c>
      <c r="K90" s="440">
        <v>0.25</v>
      </c>
      <c r="L90" s="439">
        <v>0.25</v>
      </c>
      <c r="M90" s="440">
        <v>0.25</v>
      </c>
      <c r="N90" s="403"/>
      <c r="O90" s="404"/>
      <c r="P90" s="403"/>
      <c r="Q90" s="404"/>
      <c r="R90" s="403"/>
      <c r="S90" s="404"/>
      <c r="T90" s="401"/>
      <c r="U90" s="402"/>
      <c r="V90" s="401"/>
      <c r="W90" s="402"/>
      <c r="X90" s="401"/>
      <c r="Y90" s="402"/>
      <c r="Z90" s="401"/>
      <c r="AA90" s="405"/>
      <c r="AB90" s="100">
        <f t="shared" ref="AB90:AB91" si="9">SUM(D90:AA90)*$B$35/2</f>
        <v>109.5</v>
      </c>
    </row>
    <row r="91" spans="3:28" ht="16" thickBot="1" x14ac:dyDescent="0.4">
      <c r="C91" s="367" t="s">
        <v>137</v>
      </c>
      <c r="D91" s="401"/>
      <c r="E91" s="402"/>
      <c r="F91" s="403"/>
      <c r="G91" s="404"/>
      <c r="H91" s="403"/>
      <c r="I91" s="404"/>
      <c r="J91" s="403"/>
      <c r="K91" s="404"/>
      <c r="L91" s="403"/>
      <c r="M91" s="404"/>
      <c r="N91" s="439">
        <v>0.25</v>
      </c>
      <c r="O91" s="440">
        <v>0.25</v>
      </c>
      <c r="P91" s="439">
        <v>0.25</v>
      </c>
      <c r="Q91" s="440">
        <v>0.25</v>
      </c>
      <c r="R91" s="439">
        <v>0.25</v>
      </c>
      <c r="S91" s="440">
        <v>0.25</v>
      </c>
      <c r="T91" s="401"/>
      <c r="U91" s="402"/>
      <c r="V91" s="401"/>
      <c r="W91" s="402"/>
      <c r="X91" s="401"/>
      <c r="Y91" s="402"/>
      <c r="Z91" s="401"/>
      <c r="AA91" s="405"/>
      <c r="AB91" s="100">
        <f t="shared" si="9"/>
        <v>109.5</v>
      </c>
    </row>
    <row r="92" spans="3:28" ht="16.5" thickTop="1" thickBot="1" x14ac:dyDescent="0.4">
      <c r="C92" s="341" t="s">
        <v>138</v>
      </c>
      <c r="D92" s="83"/>
      <c r="E92" s="84"/>
      <c r="F92" s="406"/>
      <c r="G92" s="407"/>
      <c r="H92" s="406"/>
      <c r="I92" s="407"/>
      <c r="J92" s="406"/>
      <c r="K92" s="407"/>
      <c r="L92" s="406"/>
      <c r="M92" s="407"/>
      <c r="N92" s="406"/>
      <c r="O92" s="407"/>
      <c r="P92" s="406"/>
      <c r="Q92" s="407"/>
      <c r="R92" s="406"/>
      <c r="S92" s="407"/>
      <c r="T92" s="408"/>
      <c r="U92" s="409"/>
      <c r="V92" s="408"/>
      <c r="W92" s="409"/>
      <c r="X92" s="83"/>
      <c r="Y92" s="84"/>
      <c r="Z92" s="83"/>
      <c r="AA92" s="85"/>
      <c r="AB92" s="98">
        <f>SUM(AB93:AB94)</f>
        <v>73</v>
      </c>
    </row>
    <row r="93" spans="3:28" ht="16" thickBot="1" x14ac:dyDescent="0.4">
      <c r="C93" s="340" t="s">
        <v>139</v>
      </c>
      <c r="D93" s="389"/>
      <c r="E93" s="388"/>
      <c r="F93" s="399"/>
      <c r="G93" s="400"/>
      <c r="H93" s="399"/>
      <c r="I93" s="400"/>
      <c r="J93" s="399"/>
      <c r="K93" s="400"/>
      <c r="L93" s="399"/>
      <c r="M93" s="400"/>
      <c r="N93" s="399"/>
      <c r="O93" s="400"/>
      <c r="P93" s="399"/>
      <c r="Q93" s="400"/>
      <c r="R93" s="399"/>
      <c r="S93" s="400"/>
      <c r="T93" s="410">
        <v>0.25</v>
      </c>
      <c r="U93" s="411">
        <v>0.25</v>
      </c>
      <c r="V93" s="410">
        <v>0.25</v>
      </c>
      <c r="W93" s="388"/>
      <c r="X93" s="389"/>
      <c r="Y93" s="388"/>
      <c r="Z93" s="389"/>
      <c r="AA93" s="390"/>
      <c r="AB93" s="99">
        <f>SUM(D93:AA93)*$B$35/2</f>
        <v>54.75</v>
      </c>
    </row>
    <row r="94" spans="3:28" ht="16" thickBot="1" x14ac:dyDescent="0.4">
      <c r="C94" s="340" t="s">
        <v>140</v>
      </c>
      <c r="D94" s="389"/>
      <c r="E94" s="388"/>
      <c r="F94" s="399"/>
      <c r="G94" s="400"/>
      <c r="H94" s="399"/>
      <c r="I94" s="400"/>
      <c r="J94" s="399"/>
      <c r="K94" s="400"/>
      <c r="L94" s="399"/>
      <c r="M94" s="400"/>
      <c r="N94" s="399"/>
      <c r="O94" s="400"/>
      <c r="P94" s="399"/>
      <c r="Q94" s="400"/>
      <c r="R94" s="399"/>
      <c r="S94" s="400"/>
      <c r="T94" s="389"/>
      <c r="U94" s="388"/>
      <c r="V94" s="389"/>
      <c r="W94" s="411">
        <v>0.25</v>
      </c>
      <c r="X94" s="389"/>
      <c r="Y94" s="388"/>
      <c r="Z94" s="389"/>
      <c r="AA94" s="390"/>
      <c r="AB94" s="99">
        <f>SUM(D94:AA94)*$B$35/2</f>
        <v>18.25</v>
      </c>
    </row>
    <row r="95" spans="3:28" ht="16.5" thickTop="1" thickBot="1" x14ac:dyDescent="0.4">
      <c r="C95" s="38" t="s">
        <v>21</v>
      </c>
      <c r="D95" s="83"/>
      <c r="E95" s="84"/>
      <c r="F95" s="83"/>
      <c r="G95" s="84"/>
      <c r="H95" s="83"/>
      <c r="I95" s="84"/>
      <c r="J95" s="83"/>
      <c r="K95" s="84"/>
      <c r="L95" s="83"/>
      <c r="M95" s="84"/>
      <c r="N95" s="83"/>
      <c r="O95" s="84"/>
      <c r="P95" s="83"/>
      <c r="Q95" s="84"/>
      <c r="R95" s="83"/>
      <c r="S95" s="84"/>
      <c r="T95" s="83"/>
      <c r="U95" s="84"/>
      <c r="V95" s="83"/>
      <c r="W95" s="84"/>
      <c r="X95" s="81"/>
      <c r="Y95" s="82"/>
      <c r="Z95" s="81"/>
      <c r="AA95" s="90"/>
      <c r="AB95" s="98">
        <f>SUM(AB96:AB97)</f>
        <v>292</v>
      </c>
    </row>
    <row r="96" spans="3:28" ht="16" thickBot="1" x14ac:dyDescent="0.4">
      <c r="C96" s="44" t="s">
        <v>22</v>
      </c>
      <c r="D96" s="389"/>
      <c r="E96" s="388"/>
      <c r="F96" s="389"/>
      <c r="G96" s="388"/>
      <c r="H96" s="389"/>
      <c r="I96" s="388"/>
      <c r="J96" s="389"/>
      <c r="K96" s="388"/>
      <c r="L96" s="389"/>
      <c r="M96" s="388"/>
      <c r="N96" s="389"/>
      <c r="O96" s="388"/>
      <c r="P96" s="389"/>
      <c r="Q96" s="388"/>
      <c r="R96" s="389"/>
      <c r="S96" s="388"/>
      <c r="T96" s="389"/>
      <c r="U96" s="388"/>
      <c r="V96" s="389"/>
      <c r="W96" s="388"/>
      <c r="X96" s="387">
        <v>1</v>
      </c>
      <c r="Y96" s="441">
        <v>1</v>
      </c>
      <c r="Z96" s="399"/>
      <c r="AA96" s="390"/>
      <c r="AB96" s="99">
        <f>SUM(D96:AA96)*$B$35/2</f>
        <v>146</v>
      </c>
    </row>
    <row r="97" spans="3:28" ht="16" thickBot="1" x14ac:dyDescent="0.4">
      <c r="C97" s="46" t="s">
        <v>23</v>
      </c>
      <c r="D97" s="391"/>
      <c r="E97" s="395"/>
      <c r="F97" s="391"/>
      <c r="G97" s="395"/>
      <c r="H97" s="391"/>
      <c r="I97" s="395"/>
      <c r="J97" s="391"/>
      <c r="K97" s="395"/>
      <c r="L97" s="391"/>
      <c r="M97" s="395"/>
      <c r="N97" s="391"/>
      <c r="O97" s="395"/>
      <c r="P97" s="391"/>
      <c r="Q97" s="395"/>
      <c r="R97" s="391"/>
      <c r="S97" s="395"/>
      <c r="T97" s="391"/>
      <c r="U97" s="395"/>
      <c r="V97" s="391"/>
      <c r="W97" s="395"/>
      <c r="X97" s="391"/>
      <c r="Y97" s="395"/>
      <c r="Z97" s="442">
        <v>1</v>
      </c>
      <c r="AA97" s="443">
        <v>1</v>
      </c>
      <c r="AB97" s="100">
        <f>SUM(D97:AA97)*$B$35/2</f>
        <v>146</v>
      </c>
    </row>
    <row r="98" spans="3:28" ht="16.5" thickTop="1" thickBot="1" x14ac:dyDescent="0.4">
      <c r="C98" s="91" t="s">
        <v>9</v>
      </c>
      <c r="D98" s="92">
        <f t="shared" ref="D98:AA98" si="10">SUM(D70:D97)</f>
        <v>1</v>
      </c>
      <c r="E98" s="93">
        <f t="shared" si="10"/>
        <v>1</v>
      </c>
      <c r="F98" s="93">
        <f t="shared" si="10"/>
        <v>1</v>
      </c>
      <c r="G98" s="93">
        <f t="shared" si="10"/>
        <v>1</v>
      </c>
      <c r="H98" s="93">
        <f t="shared" si="10"/>
        <v>1</v>
      </c>
      <c r="I98" s="93">
        <f t="shared" si="10"/>
        <v>1</v>
      </c>
      <c r="J98" s="93">
        <f t="shared" si="10"/>
        <v>1</v>
      </c>
      <c r="K98" s="93">
        <f t="shared" si="10"/>
        <v>1</v>
      </c>
      <c r="L98" s="93">
        <f t="shared" si="10"/>
        <v>1</v>
      </c>
      <c r="M98" s="93">
        <f t="shared" si="10"/>
        <v>1</v>
      </c>
      <c r="N98" s="93">
        <f t="shared" si="10"/>
        <v>1</v>
      </c>
      <c r="O98" s="93">
        <f t="shared" si="10"/>
        <v>1</v>
      </c>
      <c r="P98" s="93">
        <f t="shared" si="10"/>
        <v>1</v>
      </c>
      <c r="Q98" s="93">
        <f t="shared" si="10"/>
        <v>1</v>
      </c>
      <c r="R98" s="93">
        <f t="shared" si="10"/>
        <v>1</v>
      </c>
      <c r="S98" s="93">
        <f t="shared" si="10"/>
        <v>1</v>
      </c>
      <c r="T98" s="93">
        <f t="shared" si="10"/>
        <v>1</v>
      </c>
      <c r="U98" s="93">
        <f t="shared" si="10"/>
        <v>1</v>
      </c>
      <c r="V98" s="93">
        <f t="shared" si="10"/>
        <v>1</v>
      </c>
      <c r="W98" s="93">
        <f t="shared" si="10"/>
        <v>1</v>
      </c>
      <c r="X98" s="93">
        <f t="shared" si="10"/>
        <v>1</v>
      </c>
      <c r="Y98" s="93">
        <f t="shared" si="10"/>
        <v>1</v>
      </c>
      <c r="Z98" s="93">
        <f t="shared" si="10"/>
        <v>1</v>
      </c>
      <c r="AA98" s="94">
        <f t="shared" si="10"/>
        <v>1</v>
      </c>
      <c r="AB98" s="101">
        <f>AB70+AB73+AB79+AB84+AB88+AB92+AB95</f>
        <v>1752</v>
      </c>
    </row>
    <row r="99" spans="3:28" ht="16.5" thickTop="1" thickBot="1" x14ac:dyDescent="0.4"/>
    <row r="100" spans="3:28" ht="16.5" thickTop="1" thickBot="1" x14ac:dyDescent="0.4">
      <c r="C100" s="52" t="s">
        <v>30</v>
      </c>
      <c r="D100" s="463">
        <v>1</v>
      </c>
      <c r="E100" s="465"/>
      <c r="F100" s="463">
        <v>2</v>
      </c>
      <c r="G100" s="465"/>
      <c r="H100" s="463">
        <v>3</v>
      </c>
      <c r="I100" s="465"/>
      <c r="J100" s="463">
        <v>4</v>
      </c>
      <c r="K100" s="465"/>
      <c r="L100" s="463">
        <v>5</v>
      </c>
      <c r="M100" s="465"/>
      <c r="N100" s="463">
        <v>6</v>
      </c>
      <c r="O100" s="465"/>
      <c r="P100" s="463">
        <v>7</v>
      </c>
      <c r="Q100" s="465"/>
      <c r="R100" s="463">
        <v>8</v>
      </c>
      <c r="S100" s="465"/>
      <c r="T100" s="463">
        <v>9</v>
      </c>
      <c r="U100" s="465"/>
      <c r="V100" s="463">
        <v>10</v>
      </c>
      <c r="W100" s="465"/>
      <c r="X100" s="463">
        <v>11</v>
      </c>
      <c r="Y100" s="465"/>
      <c r="Z100" s="463">
        <v>12</v>
      </c>
      <c r="AA100" s="464"/>
      <c r="AB100" s="97" t="s">
        <v>25</v>
      </c>
    </row>
    <row r="101" spans="3:28" ht="16.5" thickTop="1" thickBot="1" x14ac:dyDescent="0.4">
      <c r="C101" s="38" t="s">
        <v>18</v>
      </c>
      <c r="D101" s="81"/>
      <c r="E101" s="82"/>
      <c r="F101" s="406"/>
      <c r="G101" s="407"/>
      <c r="H101" s="83"/>
      <c r="I101" s="84"/>
      <c r="J101" s="83"/>
      <c r="K101" s="84"/>
      <c r="L101" s="83"/>
      <c r="M101" s="84"/>
      <c r="N101" s="83"/>
      <c r="O101" s="84"/>
      <c r="P101" s="83"/>
      <c r="Q101" s="84"/>
      <c r="R101" s="83"/>
      <c r="S101" s="84"/>
      <c r="T101" s="83"/>
      <c r="U101" s="84"/>
      <c r="V101" s="83"/>
      <c r="W101" s="84"/>
      <c r="X101" s="83"/>
      <c r="Y101" s="84"/>
      <c r="Z101" s="83"/>
      <c r="AA101" s="85"/>
      <c r="AB101" s="98">
        <f>SUM(AB102:AB103)</f>
        <v>584</v>
      </c>
    </row>
    <row r="102" spans="3:28" ht="16" thickBot="1" x14ac:dyDescent="0.4">
      <c r="C102" s="44" t="s">
        <v>19</v>
      </c>
      <c r="D102" s="387">
        <v>4</v>
      </c>
      <c r="E102" s="388"/>
      <c r="F102" s="389"/>
      <c r="G102" s="388"/>
      <c r="H102" s="389"/>
      <c r="I102" s="388"/>
      <c r="J102" s="389"/>
      <c r="K102" s="388"/>
      <c r="L102" s="389"/>
      <c r="M102" s="388"/>
      <c r="N102" s="389"/>
      <c r="O102" s="388"/>
      <c r="P102" s="389"/>
      <c r="Q102" s="388"/>
      <c r="R102" s="389"/>
      <c r="S102" s="388"/>
      <c r="T102" s="389"/>
      <c r="U102" s="388"/>
      <c r="V102" s="389"/>
      <c r="W102" s="388"/>
      <c r="X102" s="389"/>
      <c r="Y102" s="388"/>
      <c r="Z102" s="389"/>
      <c r="AA102" s="390"/>
      <c r="AB102" s="99">
        <f>SUM(D102:AA102)*$B$35/2</f>
        <v>292</v>
      </c>
    </row>
    <row r="103" spans="3:28" ht="16" thickBot="1" x14ac:dyDescent="0.4">
      <c r="C103" s="46" t="s">
        <v>20</v>
      </c>
      <c r="D103" s="391"/>
      <c r="E103" s="392">
        <v>4</v>
      </c>
      <c r="F103" s="393"/>
      <c r="G103" s="394"/>
      <c r="H103" s="391"/>
      <c r="I103" s="395"/>
      <c r="J103" s="391"/>
      <c r="K103" s="395"/>
      <c r="L103" s="391"/>
      <c r="M103" s="395"/>
      <c r="N103" s="391"/>
      <c r="O103" s="395"/>
      <c r="P103" s="391"/>
      <c r="Q103" s="395"/>
      <c r="R103" s="391"/>
      <c r="S103" s="395"/>
      <c r="T103" s="391"/>
      <c r="U103" s="395"/>
      <c r="V103" s="391"/>
      <c r="W103" s="395"/>
      <c r="X103" s="391"/>
      <c r="Y103" s="395"/>
      <c r="Z103" s="391"/>
      <c r="AA103" s="396"/>
      <c r="AB103" s="100">
        <f>SUM(D103:AA103)*$B$35/2</f>
        <v>292</v>
      </c>
    </row>
    <row r="104" spans="3:28" ht="16.5" thickTop="1" thickBot="1" x14ac:dyDescent="0.4">
      <c r="C104" s="53" t="s">
        <v>121</v>
      </c>
      <c r="D104" s="83"/>
      <c r="E104" s="84"/>
      <c r="F104" s="86"/>
      <c r="G104" s="87"/>
      <c r="H104" s="86"/>
      <c r="I104" s="87"/>
      <c r="J104" s="86"/>
      <c r="K104" s="87"/>
      <c r="L104" s="86"/>
      <c r="M104" s="87"/>
      <c r="N104" s="86"/>
      <c r="O104" s="87"/>
      <c r="P104" s="86"/>
      <c r="Q104" s="87"/>
      <c r="R104" s="86"/>
      <c r="S104" s="87"/>
      <c r="T104" s="86"/>
      <c r="U104" s="87"/>
      <c r="V104" s="86"/>
      <c r="W104" s="87"/>
      <c r="X104" s="83"/>
      <c r="Y104" s="84"/>
      <c r="Z104" s="83"/>
      <c r="AA104" s="85"/>
      <c r="AB104" s="98">
        <f>SUM(AB105:AB109)</f>
        <v>2628</v>
      </c>
    </row>
    <row r="105" spans="3:28" ht="16" thickBot="1" x14ac:dyDescent="0.4">
      <c r="C105" s="56" t="s">
        <v>122</v>
      </c>
      <c r="D105" s="389"/>
      <c r="E105" s="388"/>
      <c r="F105" s="397">
        <v>2</v>
      </c>
      <c r="G105" s="398">
        <v>2</v>
      </c>
      <c r="H105" s="399"/>
      <c r="I105" s="400"/>
      <c r="J105" s="399"/>
      <c r="K105" s="400"/>
      <c r="L105" s="399"/>
      <c r="M105" s="400"/>
      <c r="N105" s="399"/>
      <c r="O105" s="400"/>
      <c r="P105" s="399"/>
      <c r="Q105" s="400"/>
      <c r="R105" s="399"/>
      <c r="S105" s="400"/>
      <c r="T105" s="399"/>
      <c r="U105" s="400"/>
      <c r="V105" s="399"/>
      <c r="W105" s="400"/>
      <c r="X105" s="389"/>
      <c r="Y105" s="388"/>
      <c r="Z105" s="389"/>
      <c r="AA105" s="390"/>
      <c r="AB105" s="99">
        <f t="shared" ref="AB105" si="11">SUM(D105:AA105)*$B$35/2</f>
        <v>292</v>
      </c>
    </row>
    <row r="106" spans="3:28" ht="16" thickBot="1" x14ac:dyDescent="0.4">
      <c r="C106" s="56" t="s">
        <v>123</v>
      </c>
      <c r="D106" s="389"/>
      <c r="E106" s="388"/>
      <c r="F106" s="389"/>
      <c r="G106" s="388"/>
      <c r="H106" s="397">
        <v>2</v>
      </c>
      <c r="I106" s="397">
        <v>2</v>
      </c>
      <c r="J106" s="397">
        <v>2</v>
      </c>
      <c r="K106" s="397">
        <v>2</v>
      </c>
      <c r="L106" s="399"/>
      <c r="M106" s="400"/>
      <c r="N106" s="399"/>
      <c r="O106" s="400"/>
      <c r="P106" s="399"/>
      <c r="Q106" s="400"/>
      <c r="R106" s="399"/>
      <c r="S106" s="400"/>
      <c r="T106" s="399"/>
      <c r="U106" s="400"/>
      <c r="V106" s="399"/>
      <c r="W106" s="400"/>
      <c r="X106" s="389"/>
      <c r="Y106" s="388"/>
      <c r="Z106" s="389"/>
      <c r="AA106" s="390"/>
      <c r="AB106" s="99">
        <f>SUM(D106:AA106)*$B$35/2</f>
        <v>584</v>
      </c>
    </row>
    <row r="107" spans="3:28" ht="16" thickBot="1" x14ac:dyDescent="0.4">
      <c r="C107" s="56" t="s">
        <v>124</v>
      </c>
      <c r="D107" s="389"/>
      <c r="E107" s="388"/>
      <c r="F107" s="389"/>
      <c r="G107" s="388"/>
      <c r="H107" s="399"/>
      <c r="I107" s="400"/>
      <c r="J107" s="399"/>
      <c r="K107" s="400"/>
      <c r="L107" s="397">
        <v>2</v>
      </c>
      <c r="M107" s="397">
        <v>2</v>
      </c>
      <c r="N107" s="397">
        <v>2</v>
      </c>
      <c r="O107" s="397">
        <v>2</v>
      </c>
      <c r="P107" s="397">
        <v>2</v>
      </c>
      <c r="Q107" s="397">
        <v>2</v>
      </c>
      <c r="R107" s="399"/>
      <c r="S107" s="400"/>
      <c r="T107" s="399"/>
      <c r="U107" s="400"/>
      <c r="V107" s="399"/>
      <c r="W107" s="400"/>
      <c r="X107" s="389"/>
      <c r="Y107" s="388"/>
      <c r="Z107" s="389"/>
      <c r="AA107" s="390"/>
      <c r="AB107" s="99">
        <f t="shared" ref="AB107:AB109" si="12">SUM(D107:AA107)*$B$35/2</f>
        <v>876</v>
      </c>
    </row>
    <row r="108" spans="3:28" ht="16" thickBot="1" x14ac:dyDescent="0.4">
      <c r="C108" s="336" t="s">
        <v>150</v>
      </c>
      <c r="D108" s="401"/>
      <c r="E108" s="402"/>
      <c r="F108" s="401"/>
      <c r="G108" s="402"/>
      <c r="H108" s="403"/>
      <c r="I108" s="404"/>
      <c r="J108" s="403"/>
      <c r="K108" s="404"/>
      <c r="L108" s="403"/>
      <c r="M108" s="404"/>
      <c r="N108" s="403"/>
      <c r="O108" s="404"/>
      <c r="P108" s="403"/>
      <c r="Q108" s="404"/>
      <c r="R108" s="397">
        <v>2</v>
      </c>
      <c r="S108" s="397">
        <v>2</v>
      </c>
      <c r="T108" s="397">
        <v>2</v>
      </c>
      <c r="U108" s="397">
        <v>2</v>
      </c>
      <c r="V108" s="403"/>
      <c r="W108" s="404"/>
      <c r="X108" s="401"/>
      <c r="Y108" s="402"/>
      <c r="Z108" s="401"/>
      <c r="AA108" s="405"/>
      <c r="AB108" s="99">
        <f t="shared" si="12"/>
        <v>584</v>
      </c>
    </row>
    <row r="109" spans="3:28" ht="16" thickBot="1" x14ac:dyDescent="0.4">
      <c r="C109" s="57" t="s">
        <v>141</v>
      </c>
      <c r="D109" s="391"/>
      <c r="E109" s="395"/>
      <c r="F109" s="391"/>
      <c r="G109" s="395"/>
      <c r="H109" s="393"/>
      <c r="I109" s="394"/>
      <c r="J109" s="393"/>
      <c r="K109" s="394"/>
      <c r="L109" s="393"/>
      <c r="M109" s="394"/>
      <c r="N109" s="393"/>
      <c r="O109" s="394"/>
      <c r="P109" s="393"/>
      <c r="Q109" s="394"/>
      <c r="R109" s="393"/>
      <c r="S109" s="394"/>
      <c r="T109" s="393"/>
      <c r="U109" s="394"/>
      <c r="V109" s="397">
        <v>2</v>
      </c>
      <c r="W109" s="397">
        <v>2</v>
      </c>
      <c r="X109" s="391"/>
      <c r="Y109" s="395"/>
      <c r="Z109" s="391"/>
      <c r="AA109" s="396"/>
      <c r="AB109" s="100">
        <f t="shared" si="12"/>
        <v>292</v>
      </c>
    </row>
    <row r="110" spans="3:28" ht="16.5" thickTop="1" thickBot="1" x14ac:dyDescent="0.4">
      <c r="C110" s="360" t="s">
        <v>128</v>
      </c>
      <c r="D110" s="83"/>
      <c r="E110" s="84"/>
      <c r="F110" s="412"/>
      <c r="G110" s="413"/>
      <c r="H110" s="412"/>
      <c r="I110" s="413"/>
      <c r="J110" s="412"/>
      <c r="K110" s="413"/>
      <c r="L110" s="412"/>
      <c r="M110" s="413"/>
      <c r="N110" s="412"/>
      <c r="O110" s="413"/>
      <c r="P110" s="412"/>
      <c r="Q110" s="407"/>
      <c r="R110" s="406"/>
      <c r="S110" s="407"/>
      <c r="T110" s="406"/>
      <c r="U110" s="407"/>
      <c r="V110" s="406"/>
      <c r="W110" s="407"/>
      <c r="X110" s="83"/>
      <c r="Y110" s="84"/>
      <c r="Z110" s="83"/>
      <c r="AA110" s="85"/>
      <c r="AB110" s="98">
        <f>SUM(AB111:AB114)</f>
        <v>803</v>
      </c>
    </row>
    <row r="111" spans="3:28" ht="16" thickBot="1" x14ac:dyDescent="0.4">
      <c r="C111" s="73" t="s">
        <v>129</v>
      </c>
      <c r="D111" s="414"/>
      <c r="E111" s="415"/>
      <c r="F111" s="416">
        <v>1</v>
      </c>
      <c r="G111" s="418"/>
      <c r="H111" s="417"/>
      <c r="I111" s="418"/>
      <c r="J111" s="417"/>
      <c r="K111" s="418"/>
      <c r="L111" s="417"/>
      <c r="M111" s="418"/>
      <c r="N111" s="417"/>
      <c r="O111" s="418"/>
      <c r="P111" s="417"/>
      <c r="Q111" s="418"/>
      <c r="R111" s="417"/>
      <c r="S111" s="418"/>
      <c r="T111" s="417"/>
      <c r="U111" s="418"/>
      <c r="V111" s="417"/>
      <c r="W111" s="418"/>
      <c r="X111" s="414"/>
      <c r="Y111" s="415"/>
      <c r="Z111" s="414"/>
      <c r="AA111" s="419"/>
      <c r="AB111" s="99">
        <f>SUM(D111:AA111)*$B$35/2</f>
        <v>73</v>
      </c>
    </row>
    <row r="112" spans="3:28" ht="16" thickBot="1" x14ac:dyDescent="0.4">
      <c r="C112" s="73" t="s">
        <v>130</v>
      </c>
      <c r="D112" s="414"/>
      <c r="E112" s="415"/>
      <c r="F112" s="417"/>
      <c r="G112" s="420">
        <v>1</v>
      </c>
      <c r="H112" s="416">
        <v>1</v>
      </c>
      <c r="I112" s="420">
        <v>1</v>
      </c>
      <c r="J112" s="416">
        <v>1</v>
      </c>
      <c r="K112" s="420">
        <v>1</v>
      </c>
      <c r="L112" s="417"/>
      <c r="M112" s="418"/>
      <c r="N112" s="417"/>
      <c r="O112" s="418"/>
      <c r="P112" s="417"/>
      <c r="Q112" s="418"/>
      <c r="R112" s="417"/>
      <c r="S112" s="418"/>
      <c r="T112" s="417"/>
      <c r="U112" s="418"/>
      <c r="V112" s="417"/>
      <c r="W112" s="418"/>
      <c r="X112" s="414"/>
      <c r="Y112" s="415"/>
      <c r="Z112" s="414"/>
      <c r="AA112" s="419"/>
      <c r="AB112" s="99">
        <f t="shared" ref="AB112:AB114" si="13">SUM(D112:AA112)*$B$35/2</f>
        <v>365</v>
      </c>
    </row>
    <row r="113" spans="3:32" ht="16" thickBot="1" x14ac:dyDescent="0.4">
      <c r="C113" s="73" t="s">
        <v>131</v>
      </c>
      <c r="D113" s="414"/>
      <c r="E113" s="415"/>
      <c r="F113" s="417"/>
      <c r="G113" s="418"/>
      <c r="H113" s="417"/>
      <c r="I113" s="418"/>
      <c r="J113" s="417"/>
      <c r="K113" s="418"/>
      <c r="L113" s="416">
        <v>1</v>
      </c>
      <c r="M113" s="420">
        <v>1</v>
      </c>
      <c r="N113" s="416">
        <v>1</v>
      </c>
      <c r="O113" s="420">
        <v>1</v>
      </c>
      <c r="P113" s="417"/>
      <c r="Q113" s="418"/>
      <c r="R113" s="417"/>
      <c r="S113" s="418"/>
      <c r="T113" s="417"/>
      <c r="U113" s="418"/>
      <c r="V113" s="417"/>
      <c r="W113" s="418"/>
      <c r="X113" s="414"/>
      <c r="Y113" s="415"/>
      <c r="Z113" s="414"/>
      <c r="AA113" s="419"/>
      <c r="AB113" s="99">
        <f t="shared" si="13"/>
        <v>292</v>
      </c>
    </row>
    <row r="114" spans="3:32" ht="16" thickBot="1" x14ac:dyDescent="0.4">
      <c r="C114" s="75" t="s">
        <v>151</v>
      </c>
      <c r="D114" s="421"/>
      <c r="E114" s="422"/>
      <c r="F114" s="423"/>
      <c r="G114" s="424"/>
      <c r="H114" s="423"/>
      <c r="I114" s="424"/>
      <c r="J114" s="423"/>
      <c r="K114" s="424"/>
      <c r="L114" s="423"/>
      <c r="M114" s="424"/>
      <c r="N114" s="423"/>
      <c r="O114" s="424"/>
      <c r="P114" s="444">
        <v>1</v>
      </c>
      <c r="Q114" s="424"/>
      <c r="R114" s="423"/>
      <c r="S114" s="424"/>
      <c r="T114" s="423"/>
      <c r="U114" s="424"/>
      <c r="V114" s="423"/>
      <c r="W114" s="424"/>
      <c r="X114" s="421"/>
      <c r="Y114" s="422"/>
      <c r="Z114" s="421"/>
      <c r="AA114" s="425"/>
      <c r="AB114" s="99">
        <f t="shared" si="13"/>
        <v>73</v>
      </c>
      <c r="AF114" t="s">
        <v>24</v>
      </c>
    </row>
    <row r="115" spans="3:32" ht="16.5" thickTop="1" thickBot="1" x14ac:dyDescent="0.4">
      <c r="C115" s="369" t="s">
        <v>132</v>
      </c>
      <c r="D115" s="426"/>
      <c r="E115" s="427"/>
      <c r="F115" s="426"/>
      <c r="G115" s="427"/>
      <c r="H115" s="426"/>
      <c r="I115" s="427"/>
      <c r="J115" s="426"/>
      <c r="K115" s="427"/>
      <c r="L115" s="428"/>
      <c r="M115" s="429"/>
      <c r="N115" s="428"/>
      <c r="O115" s="429"/>
      <c r="P115" s="428"/>
      <c r="Q115" s="431"/>
      <c r="R115" s="430"/>
      <c r="S115" s="431"/>
      <c r="T115" s="430"/>
      <c r="U115" s="431"/>
      <c r="V115" s="430"/>
      <c r="W115" s="431"/>
      <c r="X115" s="426"/>
      <c r="Y115" s="427"/>
      <c r="Z115" s="426"/>
      <c r="AA115" s="432"/>
      <c r="AB115" s="98">
        <f>SUM(AB116:AB118)</f>
        <v>511</v>
      </c>
    </row>
    <row r="116" spans="3:32" ht="16" thickBot="1" x14ac:dyDescent="0.4">
      <c r="C116" s="370" t="s">
        <v>125</v>
      </c>
      <c r="D116" s="401"/>
      <c r="E116" s="402"/>
      <c r="F116" s="401"/>
      <c r="G116" s="402"/>
      <c r="H116" s="401"/>
      <c r="I116" s="402"/>
      <c r="J116" s="401"/>
      <c r="K116" s="402"/>
      <c r="L116" s="403"/>
      <c r="M116" s="404"/>
      <c r="N116" s="403"/>
      <c r="O116" s="404"/>
      <c r="P116" s="403"/>
      <c r="Q116" s="434">
        <v>1</v>
      </c>
      <c r="R116" s="403"/>
      <c r="S116" s="404"/>
      <c r="T116" s="403"/>
      <c r="U116" s="404"/>
      <c r="V116" s="403"/>
      <c r="W116" s="404"/>
      <c r="X116" s="401"/>
      <c r="Y116" s="402"/>
      <c r="Z116" s="401"/>
      <c r="AA116" s="405"/>
      <c r="AB116" s="100">
        <f>SUM(D116:AA116)*$B$35/2</f>
        <v>73</v>
      </c>
    </row>
    <row r="117" spans="3:32" ht="16" thickBot="1" x14ac:dyDescent="0.4">
      <c r="C117" s="370" t="s">
        <v>133</v>
      </c>
      <c r="D117" s="401"/>
      <c r="E117" s="402"/>
      <c r="F117" s="401"/>
      <c r="G117" s="402"/>
      <c r="H117" s="401"/>
      <c r="I117" s="402"/>
      <c r="J117" s="401"/>
      <c r="K117" s="402"/>
      <c r="L117" s="403"/>
      <c r="M117" s="404"/>
      <c r="N117" s="403"/>
      <c r="O117" s="404"/>
      <c r="P117" s="403"/>
      <c r="Q117" s="404"/>
      <c r="R117" s="433">
        <v>1</v>
      </c>
      <c r="S117" s="434">
        <v>1</v>
      </c>
      <c r="T117" s="433">
        <v>1</v>
      </c>
      <c r="U117" s="404"/>
      <c r="V117" s="403"/>
      <c r="W117" s="404"/>
      <c r="X117" s="401"/>
      <c r="Y117" s="402"/>
      <c r="Z117" s="401"/>
      <c r="AA117" s="405"/>
      <c r="AB117" s="100">
        <f t="shared" ref="AB117:AB118" si="14">SUM(D117:AA117)*$B$35/2</f>
        <v>219</v>
      </c>
    </row>
    <row r="118" spans="3:32" ht="16" thickBot="1" x14ac:dyDescent="0.4">
      <c r="C118" s="371" t="s">
        <v>134</v>
      </c>
      <c r="D118" s="391"/>
      <c r="E118" s="395"/>
      <c r="F118" s="391"/>
      <c r="G118" s="395"/>
      <c r="H118" s="391"/>
      <c r="I118" s="395"/>
      <c r="J118" s="391"/>
      <c r="K118" s="395"/>
      <c r="L118" s="393"/>
      <c r="M118" s="394"/>
      <c r="N118" s="393"/>
      <c r="O118" s="394"/>
      <c r="P118" s="393"/>
      <c r="Q118" s="394"/>
      <c r="R118" s="393"/>
      <c r="S118" s="394"/>
      <c r="T118" s="393"/>
      <c r="U118" s="436">
        <v>1</v>
      </c>
      <c r="V118" s="435">
        <v>1</v>
      </c>
      <c r="W118" s="436">
        <v>1</v>
      </c>
      <c r="X118" s="391"/>
      <c r="Y118" s="395"/>
      <c r="Z118" s="391"/>
      <c r="AA118" s="396"/>
      <c r="AB118" s="100">
        <f t="shared" si="14"/>
        <v>219</v>
      </c>
    </row>
    <row r="119" spans="3:32" ht="16.5" thickTop="1" thickBot="1" x14ac:dyDescent="0.4">
      <c r="C119" s="368" t="s">
        <v>135</v>
      </c>
      <c r="D119" s="426"/>
      <c r="E119" s="427"/>
      <c r="F119" s="437"/>
      <c r="G119" s="438"/>
      <c r="H119" s="437"/>
      <c r="I119" s="438"/>
      <c r="J119" s="437"/>
      <c r="K119" s="438"/>
      <c r="L119" s="437"/>
      <c r="M119" s="438"/>
      <c r="N119" s="437"/>
      <c r="O119" s="438"/>
      <c r="P119" s="437"/>
      <c r="Q119" s="438"/>
      <c r="R119" s="437"/>
      <c r="S119" s="438"/>
      <c r="T119" s="428"/>
      <c r="U119" s="429"/>
      <c r="V119" s="428"/>
      <c r="W119" s="429"/>
      <c r="X119" s="426"/>
      <c r="Y119" s="427"/>
      <c r="Z119" s="426"/>
      <c r="AA119" s="432"/>
      <c r="AB119" s="98">
        <f>SUM(AB120:AB122)</f>
        <v>1022</v>
      </c>
    </row>
    <row r="120" spans="3:32" ht="16" thickBot="1" x14ac:dyDescent="0.4">
      <c r="C120" s="367" t="s">
        <v>126</v>
      </c>
      <c r="D120" s="401"/>
      <c r="E120" s="402"/>
      <c r="F120" s="439">
        <v>1</v>
      </c>
      <c r="G120" s="440">
        <v>1</v>
      </c>
      <c r="H120" s="403"/>
      <c r="I120" s="404"/>
      <c r="J120" s="403"/>
      <c r="K120" s="404"/>
      <c r="L120" s="403"/>
      <c r="M120" s="404"/>
      <c r="N120" s="403"/>
      <c r="O120" s="404"/>
      <c r="P120" s="403"/>
      <c r="Q120" s="404"/>
      <c r="R120" s="403"/>
      <c r="S120" s="404"/>
      <c r="T120" s="401"/>
      <c r="U120" s="402"/>
      <c r="V120" s="401"/>
      <c r="W120" s="402"/>
      <c r="X120" s="401"/>
      <c r="Y120" s="402"/>
      <c r="Z120" s="401"/>
      <c r="AA120" s="405"/>
      <c r="AB120" s="100">
        <f>SUM(D120:AA120)*$B$35/2</f>
        <v>146</v>
      </c>
    </row>
    <row r="121" spans="3:32" ht="16" thickBot="1" x14ac:dyDescent="0.4">
      <c r="C121" s="367" t="s">
        <v>136</v>
      </c>
      <c r="D121" s="401"/>
      <c r="E121" s="402"/>
      <c r="F121" s="403"/>
      <c r="G121" s="404"/>
      <c r="H121" s="439">
        <v>1</v>
      </c>
      <c r="I121" s="440">
        <v>1</v>
      </c>
      <c r="J121" s="439">
        <v>1</v>
      </c>
      <c r="K121" s="440">
        <v>1</v>
      </c>
      <c r="L121" s="439">
        <v>1</v>
      </c>
      <c r="M121" s="440">
        <v>1</v>
      </c>
      <c r="N121" s="403"/>
      <c r="O121" s="404"/>
      <c r="P121" s="403"/>
      <c r="Q121" s="404"/>
      <c r="R121" s="403"/>
      <c r="S121" s="404"/>
      <c r="T121" s="401"/>
      <c r="U121" s="402"/>
      <c r="V121" s="401"/>
      <c r="W121" s="402"/>
      <c r="X121" s="401"/>
      <c r="Y121" s="402"/>
      <c r="Z121" s="401"/>
      <c r="AA121" s="405"/>
      <c r="AB121" s="100">
        <f t="shared" ref="AB121:AB122" si="15">SUM(D121:AA121)*$B$35/2</f>
        <v>438</v>
      </c>
    </row>
    <row r="122" spans="3:32" ht="16" thickBot="1" x14ac:dyDescent="0.4">
      <c r="C122" s="367" t="s">
        <v>137</v>
      </c>
      <c r="D122" s="401"/>
      <c r="E122" s="402"/>
      <c r="F122" s="403"/>
      <c r="G122" s="404"/>
      <c r="H122" s="403"/>
      <c r="I122" s="404"/>
      <c r="J122" s="403"/>
      <c r="K122" s="404"/>
      <c r="L122" s="403"/>
      <c r="M122" s="404"/>
      <c r="N122" s="439">
        <v>1</v>
      </c>
      <c r="O122" s="440">
        <v>1</v>
      </c>
      <c r="P122" s="439">
        <v>1</v>
      </c>
      <c r="Q122" s="440">
        <v>1</v>
      </c>
      <c r="R122" s="439">
        <v>1</v>
      </c>
      <c r="S122" s="440">
        <v>1</v>
      </c>
      <c r="T122" s="401"/>
      <c r="U122" s="402"/>
      <c r="V122" s="401"/>
      <c r="W122" s="402"/>
      <c r="X122" s="401"/>
      <c r="Y122" s="402"/>
      <c r="Z122" s="401"/>
      <c r="AA122" s="405"/>
      <c r="AB122" s="100">
        <f t="shared" si="15"/>
        <v>438</v>
      </c>
    </row>
    <row r="123" spans="3:32" ht="16.5" thickTop="1" thickBot="1" x14ac:dyDescent="0.4">
      <c r="C123" s="341" t="s">
        <v>138</v>
      </c>
      <c r="D123" s="83"/>
      <c r="E123" s="84"/>
      <c r="F123" s="406"/>
      <c r="G123" s="407"/>
      <c r="H123" s="406"/>
      <c r="I123" s="407"/>
      <c r="J123" s="406"/>
      <c r="K123" s="407"/>
      <c r="L123" s="406"/>
      <c r="M123" s="407"/>
      <c r="N123" s="406"/>
      <c r="O123" s="407"/>
      <c r="P123" s="406"/>
      <c r="Q123" s="407"/>
      <c r="R123" s="406"/>
      <c r="S123" s="407"/>
      <c r="T123" s="408"/>
      <c r="U123" s="409"/>
      <c r="V123" s="408"/>
      <c r="W123" s="409"/>
      <c r="X123" s="83"/>
      <c r="Y123" s="84"/>
      <c r="Z123" s="83"/>
      <c r="AA123" s="85"/>
      <c r="AB123" s="98">
        <f>SUM(AB124:AB125)</f>
        <v>292</v>
      </c>
    </row>
    <row r="124" spans="3:32" ht="16" thickBot="1" x14ac:dyDescent="0.4">
      <c r="C124" s="340" t="s">
        <v>139</v>
      </c>
      <c r="D124" s="389"/>
      <c r="E124" s="388"/>
      <c r="F124" s="399"/>
      <c r="G124" s="400"/>
      <c r="H124" s="399"/>
      <c r="I124" s="400"/>
      <c r="J124" s="399"/>
      <c r="K124" s="400"/>
      <c r="L124" s="399"/>
      <c r="M124" s="400"/>
      <c r="N124" s="399"/>
      <c r="O124" s="400"/>
      <c r="P124" s="399"/>
      <c r="Q124" s="400"/>
      <c r="R124" s="399"/>
      <c r="S124" s="400"/>
      <c r="T124" s="410">
        <v>1</v>
      </c>
      <c r="U124" s="411">
        <v>1</v>
      </c>
      <c r="V124" s="410">
        <v>1</v>
      </c>
      <c r="W124" s="388"/>
      <c r="X124" s="389"/>
      <c r="Y124" s="388"/>
      <c r="Z124" s="389"/>
      <c r="AA124" s="390"/>
      <c r="AB124" s="99">
        <f>SUM(D124:AA124)*$B$35/2</f>
        <v>219</v>
      </c>
    </row>
    <row r="125" spans="3:32" ht="16" thickBot="1" x14ac:dyDescent="0.4">
      <c r="C125" s="340" t="s">
        <v>140</v>
      </c>
      <c r="D125" s="389"/>
      <c r="E125" s="388"/>
      <c r="F125" s="399"/>
      <c r="G125" s="400"/>
      <c r="H125" s="399"/>
      <c r="I125" s="400"/>
      <c r="J125" s="399"/>
      <c r="K125" s="400"/>
      <c r="L125" s="399"/>
      <c r="M125" s="400"/>
      <c r="N125" s="399"/>
      <c r="O125" s="400"/>
      <c r="P125" s="399"/>
      <c r="Q125" s="400"/>
      <c r="R125" s="399"/>
      <c r="S125" s="400"/>
      <c r="T125" s="389"/>
      <c r="U125" s="388"/>
      <c r="V125" s="389"/>
      <c r="W125" s="411">
        <v>1</v>
      </c>
      <c r="X125" s="389"/>
      <c r="Y125" s="388"/>
      <c r="Z125" s="389"/>
      <c r="AA125" s="390"/>
      <c r="AB125" s="99">
        <f>SUM(D125:AA125)*$B$35/2</f>
        <v>73</v>
      </c>
    </row>
    <row r="126" spans="3:32" ht="16.5" thickTop="1" thickBot="1" x14ac:dyDescent="0.4">
      <c r="C126" s="38" t="s">
        <v>21</v>
      </c>
      <c r="D126" s="83"/>
      <c r="E126" s="84"/>
      <c r="F126" s="83"/>
      <c r="G126" s="84"/>
      <c r="H126" s="83"/>
      <c r="I126" s="84"/>
      <c r="J126" s="83"/>
      <c r="K126" s="84"/>
      <c r="L126" s="83"/>
      <c r="M126" s="84"/>
      <c r="N126" s="83"/>
      <c r="O126" s="84"/>
      <c r="P126" s="83"/>
      <c r="Q126" s="84"/>
      <c r="R126" s="83"/>
      <c r="S126" s="84"/>
      <c r="T126" s="83"/>
      <c r="U126" s="84"/>
      <c r="V126" s="83"/>
      <c r="W126" s="84"/>
      <c r="X126" s="81"/>
      <c r="Y126" s="82"/>
      <c r="Z126" s="81"/>
      <c r="AA126" s="90"/>
      <c r="AB126" s="98">
        <f>SUM(AB127:AB128)</f>
        <v>1168</v>
      </c>
    </row>
    <row r="127" spans="3:32" ht="16" thickBot="1" x14ac:dyDescent="0.4">
      <c r="C127" s="44" t="s">
        <v>22</v>
      </c>
      <c r="D127" s="389"/>
      <c r="E127" s="388"/>
      <c r="F127" s="389"/>
      <c r="G127" s="388"/>
      <c r="H127" s="389"/>
      <c r="I127" s="388"/>
      <c r="J127" s="389"/>
      <c r="K127" s="388"/>
      <c r="L127" s="389"/>
      <c r="M127" s="388"/>
      <c r="N127" s="389"/>
      <c r="O127" s="388"/>
      <c r="P127" s="389"/>
      <c r="Q127" s="388"/>
      <c r="R127" s="389"/>
      <c r="S127" s="388"/>
      <c r="T127" s="389"/>
      <c r="U127" s="388"/>
      <c r="V127" s="389"/>
      <c r="W127" s="388"/>
      <c r="X127" s="387">
        <v>4</v>
      </c>
      <c r="Y127" s="441">
        <v>4</v>
      </c>
      <c r="Z127" s="399"/>
      <c r="AA127" s="390"/>
      <c r="AB127" s="99">
        <f>SUM(D127:AA127)*$B$35/2</f>
        <v>584</v>
      </c>
    </row>
    <row r="128" spans="3:32" ht="16" thickBot="1" x14ac:dyDescent="0.4">
      <c r="C128" s="46" t="s">
        <v>23</v>
      </c>
      <c r="D128" s="391"/>
      <c r="E128" s="395"/>
      <c r="F128" s="391"/>
      <c r="G128" s="395"/>
      <c r="H128" s="391"/>
      <c r="I128" s="395"/>
      <c r="J128" s="391"/>
      <c r="K128" s="395"/>
      <c r="L128" s="391"/>
      <c r="M128" s="395"/>
      <c r="N128" s="391"/>
      <c r="O128" s="395"/>
      <c r="P128" s="391"/>
      <c r="Q128" s="395"/>
      <c r="R128" s="391"/>
      <c r="S128" s="395"/>
      <c r="T128" s="391"/>
      <c r="U128" s="395"/>
      <c r="V128" s="391"/>
      <c r="W128" s="395"/>
      <c r="X128" s="391"/>
      <c r="Y128" s="395"/>
      <c r="Z128" s="442">
        <v>4</v>
      </c>
      <c r="AA128" s="443">
        <v>4</v>
      </c>
      <c r="AB128" s="100">
        <f>SUM(D128:AA128)*$B$35/2</f>
        <v>584</v>
      </c>
      <c r="AE128" t="s">
        <v>24</v>
      </c>
    </row>
    <row r="129" spans="2:28" ht="16.5" thickTop="1" thickBot="1" x14ac:dyDescent="0.4">
      <c r="C129" s="91" t="s">
        <v>9</v>
      </c>
      <c r="D129" s="92">
        <f t="shared" ref="D129:AA129" si="16">SUM(D101:D128)</f>
        <v>4</v>
      </c>
      <c r="E129" s="93">
        <f t="shared" si="16"/>
        <v>4</v>
      </c>
      <c r="F129" s="93">
        <f t="shared" si="16"/>
        <v>4</v>
      </c>
      <c r="G129" s="93">
        <f t="shared" si="16"/>
        <v>4</v>
      </c>
      <c r="H129" s="93">
        <f t="shared" si="16"/>
        <v>4</v>
      </c>
      <c r="I129" s="93">
        <f t="shared" si="16"/>
        <v>4</v>
      </c>
      <c r="J129" s="93">
        <f t="shared" si="16"/>
        <v>4</v>
      </c>
      <c r="K129" s="93">
        <f t="shared" si="16"/>
        <v>4</v>
      </c>
      <c r="L129" s="93">
        <f t="shared" si="16"/>
        <v>4</v>
      </c>
      <c r="M129" s="93">
        <f t="shared" si="16"/>
        <v>4</v>
      </c>
      <c r="N129" s="93">
        <f t="shared" si="16"/>
        <v>4</v>
      </c>
      <c r="O129" s="93">
        <f t="shared" si="16"/>
        <v>4</v>
      </c>
      <c r="P129" s="93">
        <f t="shared" si="16"/>
        <v>4</v>
      </c>
      <c r="Q129" s="93">
        <f t="shared" si="16"/>
        <v>4</v>
      </c>
      <c r="R129" s="93">
        <f t="shared" si="16"/>
        <v>4</v>
      </c>
      <c r="S129" s="93">
        <f t="shared" si="16"/>
        <v>4</v>
      </c>
      <c r="T129" s="93">
        <f t="shared" si="16"/>
        <v>4</v>
      </c>
      <c r="U129" s="93">
        <f t="shared" si="16"/>
        <v>4</v>
      </c>
      <c r="V129" s="93">
        <f t="shared" si="16"/>
        <v>4</v>
      </c>
      <c r="W129" s="93">
        <f t="shared" si="16"/>
        <v>4</v>
      </c>
      <c r="X129" s="93">
        <f t="shared" si="16"/>
        <v>4</v>
      </c>
      <c r="Y129" s="93">
        <f t="shared" si="16"/>
        <v>4</v>
      </c>
      <c r="Z129" s="93">
        <f t="shared" si="16"/>
        <v>4</v>
      </c>
      <c r="AA129" s="94">
        <f t="shared" si="16"/>
        <v>4</v>
      </c>
      <c r="AB129" s="101">
        <f>AB101+AB104+AB110+AB115+AB119+AB123+AB126</f>
        <v>7008</v>
      </c>
    </row>
    <row r="130" spans="2:28" ht="16" thickTop="1" x14ac:dyDescent="0.35"/>
    <row r="131" spans="2:28" ht="16" thickBot="1" x14ac:dyDescent="0.4"/>
    <row r="132" spans="2:28" ht="16.5" thickTop="1" thickBot="1" x14ac:dyDescent="0.4">
      <c r="B132" s="287"/>
      <c r="C132" s="52" t="s">
        <v>144</v>
      </c>
      <c r="D132" s="462">
        <v>1</v>
      </c>
      <c r="E132" s="462"/>
      <c r="F132" s="462">
        <v>2</v>
      </c>
      <c r="G132" s="462"/>
      <c r="H132" s="462">
        <v>3</v>
      </c>
      <c r="I132" s="462"/>
      <c r="J132" s="462">
        <v>4</v>
      </c>
      <c r="K132" s="462"/>
      <c r="L132" s="462">
        <v>5</v>
      </c>
      <c r="M132" s="462"/>
      <c r="N132" s="462">
        <v>6</v>
      </c>
      <c r="O132" s="462"/>
      <c r="P132" s="462">
        <v>7</v>
      </c>
      <c r="Q132" s="462"/>
      <c r="R132" s="462">
        <v>8</v>
      </c>
      <c r="S132" s="462"/>
      <c r="T132" s="462">
        <v>9</v>
      </c>
      <c r="U132" s="462"/>
      <c r="V132" s="462">
        <v>10</v>
      </c>
      <c r="W132" s="462"/>
      <c r="X132" s="462">
        <v>11</v>
      </c>
      <c r="Y132" s="462"/>
      <c r="Z132" s="462">
        <v>12</v>
      </c>
      <c r="AA132" s="463"/>
      <c r="AB132" s="97" t="s">
        <v>25</v>
      </c>
    </row>
    <row r="133" spans="2:28" ht="16.5" thickTop="1" thickBot="1" x14ac:dyDescent="0.4">
      <c r="C133" s="38" t="s">
        <v>18</v>
      </c>
      <c r="D133" s="81"/>
      <c r="E133" s="82"/>
      <c r="F133" s="406"/>
      <c r="G133" s="407"/>
      <c r="H133" s="83"/>
      <c r="I133" s="84"/>
      <c r="J133" s="83"/>
      <c r="K133" s="84"/>
      <c r="L133" s="83"/>
      <c r="M133" s="84"/>
      <c r="N133" s="83"/>
      <c r="O133" s="84"/>
      <c r="P133" s="83"/>
      <c r="Q133" s="84"/>
      <c r="R133" s="83"/>
      <c r="S133" s="84"/>
      <c r="T133" s="83"/>
      <c r="U133" s="84"/>
      <c r="V133" s="83"/>
      <c r="W133" s="84"/>
      <c r="X133" s="83"/>
      <c r="Y133" s="84"/>
      <c r="Z133" s="83"/>
      <c r="AA133" s="85"/>
      <c r="AB133" s="98">
        <f>SUM(AB134:AB135)</f>
        <v>584</v>
      </c>
    </row>
    <row r="134" spans="2:28" ht="16" thickBot="1" x14ac:dyDescent="0.4">
      <c r="C134" s="44" t="s">
        <v>19</v>
      </c>
      <c r="D134" s="387">
        <v>0</v>
      </c>
      <c r="E134" s="388"/>
      <c r="F134" s="389"/>
      <c r="G134" s="388"/>
      <c r="H134" s="389"/>
      <c r="I134" s="388"/>
      <c r="J134" s="389"/>
      <c r="K134" s="388"/>
      <c r="L134" s="389"/>
      <c r="M134" s="388"/>
      <c r="N134" s="389"/>
      <c r="O134" s="388"/>
      <c r="P134" s="389"/>
      <c r="Q134" s="388"/>
      <c r="R134" s="389"/>
      <c r="S134" s="388"/>
      <c r="T134" s="389"/>
      <c r="U134" s="388"/>
      <c r="V134" s="389"/>
      <c r="W134" s="388"/>
      <c r="X134" s="389"/>
      <c r="Y134" s="388"/>
      <c r="Z134" s="389"/>
      <c r="AA134" s="390"/>
      <c r="AB134" s="99">
        <f>SUM(D134:AA134)*$B$35/2</f>
        <v>0</v>
      </c>
    </row>
    <row r="135" spans="2:28" ht="16" thickBot="1" x14ac:dyDescent="0.4">
      <c r="C135" s="46" t="s">
        <v>20</v>
      </c>
      <c r="D135" s="391"/>
      <c r="E135" s="392">
        <v>8</v>
      </c>
      <c r="F135" s="393"/>
      <c r="G135" s="394"/>
      <c r="H135" s="391"/>
      <c r="I135" s="395"/>
      <c r="J135" s="391"/>
      <c r="K135" s="395"/>
      <c r="L135" s="391"/>
      <c r="M135" s="395"/>
      <c r="N135" s="391"/>
      <c r="O135" s="395"/>
      <c r="P135" s="391"/>
      <c r="Q135" s="395"/>
      <c r="R135" s="391"/>
      <c r="S135" s="395"/>
      <c r="T135" s="391"/>
      <c r="U135" s="395"/>
      <c r="V135" s="391"/>
      <c r="W135" s="395"/>
      <c r="X135" s="391"/>
      <c r="Y135" s="395"/>
      <c r="Z135" s="391"/>
      <c r="AA135" s="396"/>
      <c r="AB135" s="100">
        <f>SUM(D135:AA135)*$B$35/2</f>
        <v>584</v>
      </c>
    </row>
    <row r="136" spans="2:28" ht="16.5" thickTop="1" thickBot="1" x14ac:dyDescent="0.4">
      <c r="C136" s="53" t="s">
        <v>121</v>
      </c>
      <c r="D136" s="83"/>
      <c r="E136" s="84"/>
      <c r="F136" s="86"/>
      <c r="G136" s="87"/>
      <c r="H136" s="86"/>
      <c r="I136" s="87"/>
      <c r="J136" s="86"/>
      <c r="K136" s="87"/>
      <c r="L136" s="86"/>
      <c r="M136" s="87"/>
      <c r="N136" s="86"/>
      <c r="O136" s="87"/>
      <c r="P136" s="86"/>
      <c r="Q136" s="87"/>
      <c r="R136" s="86"/>
      <c r="S136" s="87"/>
      <c r="T136" s="86"/>
      <c r="U136" s="87"/>
      <c r="V136" s="86"/>
      <c r="W136" s="87"/>
      <c r="X136" s="83"/>
      <c r="Y136" s="84"/>
      <c r="Z136" s="83"/>
      <c r="AA136" s="85"/>
      <c r="AB136" s="98">
        <f>SUM(AB137:AB141)</f>
        <v>2628</v>
      </c>
    </row>
    <row r="137" spans="2:28" ht="16" thickBot="1" x14ac:dyDescent="0.4">
      <c r="C137" s="56" t="s">
        <v>122</v>
      </c>
      <c r="D137" s="389"/>
      <c r="E137" s="388"/>
      <c r="F137" s="397">
        <v>2</v>
      </c>
      <c r="G137" s="398">
        <v>2</v>
      </c>
      <c r="H137" s="399"/>
      <c r="I137" s="400"/>
      <c r="J137" s="399"/>
      <c r="K137" s="400"/>
      <c r="L137" s="399"/>
      <c r="M137" s="400"/>
      <c r="N137" s="399"/>
      <c r="O137" s="400"/>
      <c r="P137" s="399"/>
      <c r="Q137" s="400"/>
      <c r="R137" s="399"/>
      <c r="S137" s="400"/>
      <c r="T137" s="399"/>
      <c r="U137" s="400"/>
      <c r="V137" s="399"/>
      <c r="W137" s="400"/>
      <c r="X137" s="389"/>
      <c r="Y137" s="388"/>
      <c r="Z137" s="389"/>
      <c r="AA137" s="390"/>
      <c r="AB137" s="99">
        <f t="shared" ref="AB137" si="17">SUM(D137:AA137)*$B$35/2</f>
        <v>292</v>
      </c>
    </row>
    <row r="138" spans="2:28" ht="16" thickBot="1" x14ac:dyDescent="0.4">
      <c r="C138" s="56" t="s">
        <v>123</v>
      </c>
      <c r="D138" s="389"/>
      <c r="E138" s="388"/>
      <c r="F138" s="389"/>
      <c r="G138" s="388"/>
      <c r="H138" s="397">
        <v>2</v>
      </c>
      <c r="I138" s="397">
        <v>2</v>
      </c>
      <c r="J138" s="397">
        <v>2</v>
      </c>
      <c r="K138" s="397">
        <v>2</v>
      </c>
      <c r="L138" s="399"/>
      <c r="M138" s="400"/>
      <c r="N138" s="399"/>
      <c r="O138" s="400"/>
      <c r="P138" s="399"/>
      <c r="Q138" s="400"/>
      <c r="R138" s="399"/>
      <c r="S138" s="400"/>
      <c r="T138" s="399"/>
      <c r="U138" s="400"/>
      <c r="V138" s="399"/>
      <c r="W138" s="400"/>
      <c r="X138" s="389"/>
      <c r="Y138" s="388"/>
      <c r="Z138" s="389"/>
      <c r="AA138" s="390"/>
      <c r="AB138" s="99">
        <f>SUM(D138:AA138)*$B$35/2</f>
        <v>584</v>
      </c>
    </row>
    <row r="139" spans="2:28" ht="16" thickBot="1" x14ac:dyDescent="0.4">
      <c r="C139" s="56" t="s">
        <v>124</v>
      </c>
      <c r="D139" s="389"/>
      <c r="E139" s="388"/>
      <c r="F139" s="389"/>
      <c r="G139" s="388"/>
      <c r="H139" s="399"/>
      <c r="I139" s="400"/>
      <c r="J139" s="399"/>
      <c r="K139" s="400"/>
      <c r="L139" s="397">
        <v>2</v>
      </c>
      <c r="M139" s="397">
        <v>2</v>
      </c>
      <c r="N139" s="397">
        <v>2</v>
      </c>
      <c r="O139" s="397">
        <v>2</v>
      </c>
      <c r="P139" s="397">
        <v>2</v>
      </c>
      <c r="Q139" s="397">
        <v>2</v>
      </c>
      <c r="R139" s="399"/>
      <c r="S139" s="400"/>
      <c r="T139" s="399"/>
      <c r="U139" s="400"/>
      <c r="V139" s="399"/>
      <c r="W139" s="400"/>
      <c r="X139" s="389"/>
      <c r="Y139" s="388"/>
      <c r="Z139" s="389"/>
      <c r="AA139" s="390"/>
      <c r="AB139" s="99">
        <f t="shared" ref="AB139:AB141" si="18">SUM(D139:AA139)*$B$35/2</f>
        <v>876</v>
      </c>
    </row>
    <row r="140" spans="2:28" ht="16" thickBot="1" x14ac:dyDescent="0.4">
      <c r="C140" s="336" t="s">
        <v>150</v>
      </c>
      <c r="D140" s="401"/>
      <c r="E140" s="402"/>
      <c r="F140" s="401"/>
      <c r="G140" s="402"/>
      <c r="H140" s="403"/>
      <c r="I140" s="404"/>
      <c r="J140" s="403"/>
      <c r="K140" s="404"/>
      <c r="L140" s="403"/>
      <c r="M140" s="404"/>
      <c r="N140" s="403"/>
      <c r="O140" s="404"/>
      <c r="P140" s="403"/>
      <c r="Q140" s="404"/>
      <c r="R140" s="397">
        <v>2</v>
      </c>
      <c r="S140" s="397">
        <v>2</v>
      </c>
      <c r="T140" s="397">
        <v>2</v>
      </c>
      <c r="U140" s="397">
        <v>2</v>
      </c>
      <c r="V140" s="403"/>
      <c r="W140" s="404"/>
      <c r="X140" s="401"/>
      <c r="Y140" s="402"/>
      <c r="Z140" s="401"/>
      <c r="AA140" s="405"/>
      <c r="AB140" s="99">
        <f t="shared" si="18"/>
        <v>584</v>
      </c>
    </row>
    <row r="141" spans="2:28" ht="16" thickBot="1" x14ac:dyDescent="0.4">
      <c r="C141" s="57" t="s">
        <v>141</v>
      </c>
      <c r="D141" s="391"/>
      <c r="E141" s="395"/>
      <c r="F141" s="391"/>
      <c r="G141" s="395"/>
      <c r="H141" s="393"/>
      <c r="I141" s="394"/>
      <c r="J141" s="393"/>
      <c r="K141" s="394"/>
      <c r="L141" s="393"/>
      <c r="M141" s="394"/>
      <c r="N141" s="393"/>
      <c r="O141" s="394"/>
      <c r="P141" s="393"/>
      <c r="Q141" s="394"/>
      <c r="R141" s="393"/>
      <c r="S141" s="394"/>
      <c r="T141" s="393"/>
      <c r="U141" s="394"/>
      <c r="V141" s="397">
        <v>2</v>
      </c>
      <c r="W141" s="397">
        <v>2</v>
      </c>
      <c r="X141" s="391"/>
      <c r="Y141" s="395"/>
      <c r="Z141" s="391"/>
      <c r="AA141" s="396"/>
      <c r="AB141" s="100">
        <f t="shared" si="18"/>
        <v>292</v>
      </c>
    </row>
    <row r="142" spans="2:28" ht="16.5" thickTop="1" thickBot="1" x14ac:dyDescent="0.4">
      <c r="C142" s="360" t="s">
        <v>128</v>
      </c>
      <c r="D142" s="83"/>
      <c r="E142" s="84"/>
      <c r="F142" s="412"/>
      <c r="G142" s="413"/>
      <c r="H142" s="412"/>
      <c r="I142" s="413"/>
      <c r="J142" s="412"/>
      <c r="K142" s="413"/>
      <c r="L142" s="412"/>
      <c r="M142" s="413"/>
      <c r="N142" s="412"/>
      <c r="O142" s="413"/>
      <c r="P142" s="412"/>
      <c r="Q142" s="407"/>
      <c r="R142" s="406"/>
      <c r="S142" s="407"/>
      <c r="T142" s="406"/>
      <c r="U142" s="407"/>
      <c r="V142" s="406"/>
      <c r="W142" s="407"/>
      <c r="X142" s="83"/>
      <c r="Y142" s="84"/>
      <c r="Z142" s="83"/>
      <c r="AA142" s="85"/>
      <c r="AB142" s="98">
        <f>SUM(AB143:AB146)</f>
        <v>2409</v>
      </c>
    </row>
    <row r="143" spans="2:28" ht="16" thickBot="1" x14ac:dyDescent="0.4">
      <c r="C143" s="73" t="s">
        <v>129</v>
      </c>
      <c r="D143" s="414"/>
      <c r="E143" s="415"/>
      <c r="F143" s="416">
        <v>3</v>
      </c>
      <c r="G143" s="418"/>
      <c r="H143" s="417"/>
      <c r="I143" s="418"/>
      <c r="J143" s="417"/>
      <c r="K143" s="418"/>
      <c r="L143" s="417"/>
      <c r="M143" s="418"/>
      <c r="N143" s="417"/>
      <c r="O143" s="418"/>
      <c r="P143" s="417"/>
      <c r="Q143" s="418"/>
      <c r="R143" s="417"/>
      <c r="S143" s="418"/>
      <c r="T143" s="417"/>
      <c r="U143" s="418"/>
      <c r="V143" s="417"/>
      <c r="W143" s="418"/>
      <c r="X143" s="414"/>
      <c r="Y143" s="415"/>
      <c r="Z143" s="414"/>
      <c r="AA143" s="419"/>
      <c r="AB143" s="99">
        <f>SUM(D143:AA143)*$B$35/2</f>
        <v>219</v>
      </c>
    </row>
    <row r="144" spans="2:28" ht="16" thickBot="1" x14ac:dyDescent="0.4">
      <c r="C144" s="73" t="s">
        <v>130</v>
      </c>
      <c r="D144" s="414"/>
      <c r="E144" s="415"/>
      <c r="F144" s="417"/>
      <c r="G144" s="420">
        <v>3</v>
      </c>
      <c r="H144" s="416">
        <v>3</v>
      </c>
      <c r="I144" s="420">
        <v>3</v>
      </c>
      <c r="J144" s="416">
        <v>3</v>
      </c>
      <c r="K144" s="420">
        <v>3</v>
      </c>
      <c r="L144" s="417"/>
      <c r="M144" s="418"/>
      <c r="N144" s="417"/>
      <c r="O144" s="418"/>
      <c r="P144" s="417"/>
      <c r="Q144" s="418"/>
      <c r="R144" s="417"/>
      <c r="S144" s="418"/>
      <c r="T144" s="417"/>
      <c r="U144" s="418"/>
      <c r="V144" s="417"/>
      <c r="W144" s="418"/>
      <c r="X144" s="414"/>
      <c r="Y144" s="415"/>
      <c r="Z144" s="414"/>
      <c r="AA144" s="419"/>
      <c r="AB144" s="99">
        <f t="shared" ref="AB144:AB146" si="19">SUM(D144:AA144)*$B$35/2</f>
        <v>1095</v>
      </c>
    </row>
    <row r="145" spans="3:32" ht="16" thickBot="1" x14ac:dyDescent="0.4">
      <c r="C145" s="73" t="s">
        <v>131</v>
      </c>
      <c r="D145" s="414"/>
      <c r="E145" s="415"/>
      <c r="F145" s="417"/>
      <c r="G145" s="418"/>
      <c r="H145" s="417"/>
      <c r="I145" s="418"/>
      <c r="J145" s="417"/>
      <c r="K145" s="418"/>
      <c r="L145" s="416">
        <v>3</v>
      </c>
      <c r="M145" s="420">
        <v>3</v>
      </c>
      <c r="N145" s="416">
        <v>3</v>
      </c>
      <c r="O145" s="420">
        <v>3</v>
      </c>
      <c r="P145" s="417"/>
      <c r="Q145" s="418"/>
      <c r="R145" s="417"/>
      <c r="S145" s="418"/>
      <c r="T145" s="417"/>
      <c r="U145" s="418"/>
      <c r="V145" s="417"/>
      <c r="W145" s="418"/>
      <c r="X145" s="414"/>
      <c r="Y145" s="415"/>
      <c r="Z145" s="414"/>
      <c r="AA145" s="419"/>
      <c r="AB145" s="99">
        <f t="shared" si="19"/>
        <v>876</v>
      </c>
    </row>
    <row r="146" spans="3:32" ht="16" thickBot="1" x14ac:dyDescent="0.4">
      <c r="C146" s="75" t="s">
        <v>151</v>
      </c>
      <c r="D146" s="421"/>
      <c r="E146" s="422"/>
      <c r="F146" s="423"/>
      <c r="G146" s="424"/>
      <c r="H146" s="423"/>
      <c r="I146" s="424"/>
      <c r="J146" s="423"/>
      <c r="K146" s="424"/>
      <c r="L146" s="423"/>
      <c r="M146" s="424"/>
      <c r="N146" s="423"/>
      <c r="O146" s="424"/>
      <c r="P146" s="444">
        <v>3</v>
      </c>
      <c r="Q146" s="424"/>
      <c r="R146" s="423"/>
      <c r="S146" s="424"/>
      <c r="T146" s="423"/>
      <c r="U146" s="424"/>
      <c r="V146" s="423"/>
      <c r="W146" s="424"/>
      <c r="X146" s="421"/>
      <c r="Y146" s="422"/>
      <c r="Z146" s="421"/>
      <c r="AA146" s="425"/>
      <c r="AB146" s="99">
        <f t="shared" si="19"/>
        <v>219</v>
      </c>
      <c r="AF146" t="s">
        <v>24</v>
      </c>
    </row>
    <row r="147" spans="3:32" ht="16.5" thickTop="1" thickBot="1" x14ac:dyDescent="0.4">
      <c r="C147" s="369" t="s">
        <v>132</v>
      </c>
      <c r="D147" s="426"/>
      <c r="E147" s="427"/>
      <c r="F147" s="426"/>
      <c r="G147" s="427"/>
      <c r="H147" s="426"/>
      <c r="I147" s="427"/>
      <c r="J147" s="426"/>
      <c r="K147" s="427"/>
      <c r="L147" s="428"/>
      <c r="M147" s="429"/>
      <c r="N147" s="428"/>
      <c r="O147" s="429"/>
      <c r="P147" s="428"/>
      <c r="Q147" s="431"/>
      <c r="R147" s="430"/>
      <c r="S147" s="431"/>
      <c r="T147" s="430"/>
      <c r="U147" s="431"/>
      <c r="V147" s="430"/>
      <c r="W147" s="431"/>
      <c r="X147" s="426"/>
      <c r="Y147" s="427"/>
      <c r="Z147" s="426"/>
      <c r="AA147" s="432"/>
      <c r="AB147" s="98">
        <f>SUM(AB148:AB150)</f>
        <v>1533</v>
      </c>
    </row>
    <row r="148" spans="3:32" ht="16" thickBot="1" x14ac:dyDescent="0.4">
      <c r="C148" s="370" t="s">
        <v>125</v>
      </c>
      <c r="D148" s="401"/>
      <c r="E148" s="402"/>
      <c r="F148" s="401"/>
      <c r="G148" s="402"/>
      <c r="H148" s="401"/>
      <c r="I148" s="402"/>
      <c r="J148" s="401"/>
      <c r="K148" s="402"/>
      <c r="L148" s="403"/>
      <c r="M148" s="404"/>
      <c r="N148" s="403"/>
      <c r="O148" s="404"/>
      <c r="P148" s="403"/>
      <c r="Q148" s="434">
        <v>3</v>
      </c>
      <c r="R148" s="403"/>
      <c r="S148" s="404"/>
      <c r="T148" s="403"/>
      <c r="U148" s="404"/>
      <c r="V148" s="403"/>
      <c r="W148" s="404"/>
      <c r="X148" s="401"/>
      <c r="Y148" s="402"/>
      <c r="Z148" s="401"/>
      <c r="AA148" s="405"/>
      <c r="AB148" s="100">
        <f>SUM(D148:AA148)*$B$35/2</f>
        <v>219</v>
      </c>
    </row>
    <row r="149" spans="3:32" ht="16" thickBot="1" x14ac:dyDescent="0.4">
      <c r="C149" s="370" t="s">
        <v>133</v>
      </c>
      <c r="D149" s="401"/>
      <c r="E149" s="402"/>
      <c r="F149" s="401"/>
      <c r="G149" s="402"/>
      <c r="H149" s="401"/>
      <c r="I149" s="402"/>
      <c r="J149" s="401"/>
      <c r="K149" s="402"/>
      <c r="L149" s="403"/>
      <c r="M149" s="404"/>
      <c r="N149" s="403"/>
      <c r="O149" s="404"/>
      <c r="P149" s="403"/>
      <c r="Q149" s="404"/>
      <c r="R149" s="433">
        <v>3</v>
      </c>
      <c r="S149" s="434">
        <v>3</v>
      </c>
      <c r="T149" s="433">
        <v>3</v>
      </c>
      <c r="U149" s="404"/>
      <c r="V149" s="403"/>
      <c r="W149" s="404"/>
      <c r="X149" s="401"/>
      <c r="Y149" s="402"/>
      <c r="Z149" s="401"/>
      <c r="AA149" s="405"/>
      <c r="AB149" s="100">
        <f t="shared" ref="AB149:AB150" si="20">SUM(D149:AA149)*$B$35/2</f>
        <v>657</v>
      </c>
    </row>
    <row r="150" spans="3:32" ht="16" thickBot="1" x14ac:dyDescent="0.4">
      <c r="C150" s="371" t="s">
        <v>134</v>
      </c>
      <c r="D150" s="391"/>
      <c r="E150" s="395"/>
      <c r="F150" s="391"/>
      <c r="G150" s="395"/>
      <c r="H150" s="391"/>
      <c r="I150" s="395"/>
      <c r="J150" s="391"/>
      <c r="K150" s="395"/>
      <c r="L150" s="393"/>
      <c r="M150" s="394"/>
      <c r="N150" s="393"/>
      <c r="O150" s="394"/>
      <c r="P150" s="393"/>
      <c r="Q150" s="394"/>
      <c r="R150" s="393"/>
      <c r="S150" s="394"/>
      <c r="T150" s="393"/>
      <c r="U150" s="436">
        <v>3</v>
      </c>
      <c r="V150" s="435">
        <v>3</v>
      </c>
      <c r="W150" s="436">
        <v>3</v>
      </c>
      <c r="X150" s="391"/>
      <c r="Y150" s="395"/>
      <c r="Z150" s="391"/>
      <c r="AA150" s="396"/>
      <c r="AB150" s="100">
        <f t="shared" si="20"/>
        <v>657</v>
      </c>
    </row>
    <row r="151" spans="3:32" ht="16.5" thickTop="1" thickBot="1" x14ac:dyDescent="0.4">
      <c r="C151" s="368" t="s">
        <v>135</v>
      </c>
      <c r="D151" s="426"/>
      <c r="E151" s="427"/>
      <c r="F151" s="437"/>
      <c r="G151" s="438"/>
      <c r="H151" s="437"/>
      <c r="I151" s="438"/>
      <c r="J151" s="437"/>
      <c r="K151" s="438"/>
      <c r="L151" s="437"/>
      <c r="M151" s="438"/>
      <c r="N151" s="437"/>
      <c r="O151" s="438"/>
      <c r="P151" s="437"/>
      <c r="Q151" s="438"/>
      <c r="R151" s="437"/>
      <c r="S151" s="438"/>
      <c r="T151" s="428"/>
      <c r="U151" s="429"/>
      <c r="V151" s="428"/>
      <c r="W151" s="429"/>
      <c r="X151" s="426"/>
      <c r="Y151" s="427"/>
      <c r="Z151" s="426"/>
      <c r="AA151" s="432"/>
      <c r="AB151" s="98">
        <f>SUM(AB152:AB154)</f>
        <v>3066</v>
      </c>
    </row>
    <row r="152" spans="3:32" ht="16" thickBot="1" x14ac:dyDescent="0.4">
      <c r="C152" s="367" t="s">
        <v>126</v>
      </c>
      <c r="D152" s="401"/>
      <c r="E152" s="402"/>
      <c r="F152" s="439">
        <v>3</v>
      </c>
      <c r="G152" s="440">
        <v>3</v>
      </c>
      <c r="H152" s="403"/>
      <c r="I152" s="404"/>
      <c r="J152" s="403"/>
      <c r="K152" s="404"/>
      <c r="L152" s="403"/>
      <c r="M152" s="404"/>
      <c r="N152" s="403"/>
      <c r="O152" s="404"/>
      <c r="P152" s="403"/>
      <c r="Q152" s="404"/>
      <c r="R152" s="403"/>
      <c r="S152" s="404"/>
      <c r="T152" s="401"/>
      <c r="U152" s="402"/>
      <c r="V152" s="401"/>
      <c r="W152" s="402"/>
      <c r="X152" s="401"/>
      <c r="Y152" s="402"/>
      <c r="Z152" s="401"/>
      <c r="AA152" s="405"/>
      <c r="AB152" s="100">
        <f>SUM(D152:AA152)*$B$35/2</f>
        <v>438</v>
      </c>
    </row>
    <row r="153" spans="3:32" ht="16" thickBot="1" x14ac:dyDescent="0.4">
      <c r="C153" s="367" t="s">
        <v>136</v>
      </c>
      <c r="D153" s="401"/>
      <c r="E153" s="402"/>
      <c r="F153" s="403"/>
      <c r="G153" s="404"/>
      <c r="H153" s="439">
        <v>3</v>
      </c>
      <c r="I153" s="440">
        <v>3</v>
      </c>
      <c r="J153" s="439">
        <v>3</v>
      </c>
      <c r="K153" s="440">
        <v>3</v>
      </c>
      <c r="L153" s="439">
        <v>3</v>
      </c>
      <c r="M153" s="440">
        <v>3</v>
      </c>
      <c r="N153" s="403"/>
      <c r="O153" s="404"/>
      <c r="P153" s="403"/>
      <c r="Q153" s="404"/>
      <c r="R153" s="403"/>
      <c r="S153" s="404"/>
      <c r="T153" s="401"/>
      <c r="U153" s="402"/>
      <c r="V153" s="401"/>
      <c r="W153" s="402"/>
      <c r="X153" s="401"/>
      <c r="Y153" s="402"/>
      <c r="Z153" s="401"/>
      <c r="AA153" s="405"/>
      <c r="AB153" s="100">
        <f t="shared" ref="AB153:AB154" si="21">SUM(D153:AA153)*$B$35/2</f>
        <v>1314</v>
      </c>
    </row>
    <row r="154" spans="3:32" ht="16" thickBot="1" x14ac:dyDescent="0.4">
      <c r="C154" s="367" t="s">
        <v>137</v>
      </c>
      <c r="D154" s="401"/>
      <c r="E154" s="402"/>
      <c r="F154" s="403"/>
      <c r="G154" s="404"/>
      <c r="H154" s="403"/>
      <c r="I154" s="404"/>
      <c r="J154" s="403"/>
      <c r="K154" s="404"/>
      <c r="L154" s="403"/>
      <c r="M154" s="404"/>
      <c r="N154" s="439">
        <v>3</v>
      </c>
      <c r="O154" s="440">
        <v>3</v>
      </c>
      <c r="P154" s="439">
        <v>3</v>
      </c>
      <c r="Q154" s="440">
        <v>3</v>
      </c>
      <c r="R154" s="439">
        <v>3</v>
      </c>
      <c r="S154" s="440">
        <v>3</v>
      </c>
      <c r="T154" s="401"/>
      <c r="U154" s="402"/>
      <c r="V154" s="401"/>
      <c r="W154" s="402"/>
      <c r="X154" s="401"/>
      <c r="Y154" s="402"/>
      <c r="Z154" s="401"/>
      <c r="AA154" s="405"/>
      <c r="AB154" s="100">
        <f t="shared" si="21"/>
        <v>1314</v>
      </c>
    </row>
    <row r="155" spans="3:32" ht="16.5" thickTop="1" thickBot="1" x14ac:dyDescent="0.4">
      <c r="C155" s="341" t="s">
        <v>138</v>
      </c>
      <c r="D155" s="83"/>
      <c r="E155" s="84"/>
      <c r="F155" s="406"/>
      <c r="G155" s="407"/>
      <c r="H155" s="406"/>
      <c r="I155" s="407"/>
      <c r="J155" s="406"/>
      <c r="K155" s="407"/>
      <c r="L155" s="406"/>
      <c r="M155" s="407"/>
      <c r="N155" s="406"/>
      <c r="O155" s="407"/>
      <c r="P155" s="406"/>
      <c r="Q155" s="407"/>
      <c r="R155" s="406"/>
      <c r="S155" s="407"/>
      <c r="T155" s="408"/>
      <c r="U155" s="409"/>
      <c r="V155" s="408"/>
      <c r="W155" s="409"/>
      <c r="X155" s="83"/>
      <c r="Y155" s="84"/>
      <c r="Z155" s="83"/>
      <c r="AA155" s="85"/>
      <c r="AB155" s="98">
        <f>SUM(AB156:AB157)</f>
        <v>876</v>
      </c>
    </row>
    <row r="156" spans="3:32" ht="16" thickBot="1" x14ac:dyDescent="0.4">
      <c r="C156" s="340" t="s">
        <v>139</v>
      </c>
      <c r="D156" s="389"/>
      <c r="E156" s="388"/>
      <c r="F156" s="399"/>
      <c r="G156" s="400"/>
      <c r="H156" s="399"/>
      <c r="I156" s="400"/>
      <c r="J156" s="399"/>
      <c r="K156" s="400"/>
      <c r="L156" s="399"/>
      <c r="M156" s="400"/>
      <c r="N156" s="399"/>
      <c r="O156" s="400"/>
      <c r="P156" s="399"/>
      <c r="Q156" s="400"/>
      <c r="R156" s="399"/>
      <c r="S156" s="400"/>
      <c r="T156" s="410">
        <v>3</v>
      </c>
      <c r="U156" s="411">
        <v>3</v>
      </c>
      <c r="V156" s="410">
        <v>3</v>
      </c>
      <c r="W156" s="388"/>
      <c r="X156" s="389"/>
      <c r="Y156" s="388"/>
      <c r="Z156" s="389"/>
      <c r="AA156" s="390"/>
      <c r="AB156" s="99">
        <f>SUM(D156:AA156)*$B$35/2</f>
        <v>657</v>
      </c>
    </row>
    <row r="157" spans="3:32" ht="16" thickBot="1" x14ac:dyDescent="0.4">
      <c r="C157" s="340" t="s">
        <v>140</v>
      </c>
      <c r="D157" s="389"/>
      <c r="E157" s="388"/>
      <c r="F157" s="399"/>
      <c r="G157" s="400"/>
      <c r="H157" s="399"/>
      <c r="I157" s="400"/>
      <c r="J157" s="399"/>
      <c r="K157" s="400"/>
      <c r="L157" s="399"/>
      <c r="M157" s="400"/>
      <c r="N157" s="399"/>
      <c r="O157" s="400"/>
      <c r="P157" s="399"/>
      <c r="Q157" s="400"/>
      <c r="R157" s="399"/>
      <c r="S157" s="400"/>
      <c r="T157" s="389"/>
      <c r="U157" s="388"/>
      <c r="V157" s="389"/>
      <c r="W157" s="411">
        <v>3</v>
      </c>
      <c r="X157" s="389"/>
      <c r="Y157" s="388"/>
      <c r="Z157" s="389"/>
      <c r="AA157" s="390"/>
      <c r="AB157" s="99">
        <f>SUM(D157:AA157)*$B$35/2</f>
        <v>219</v>
      </c>
    </row>
    <row r="158" spans="3:32" ht="16.5" thickTop="1" thickBot="1" x14ac:dyDescent="0.4">
      <c r="C158" s="38" t="s">
        <v>21</v>
      </c>
      <c r="D158" s="83"/>
      <c r="E158" s="84"/>
      <c r="F158" s="83"/>
      <c r="G158" s="84"/>
      <c r="H158" s="83"/>
      <c r="I158" s="84"/>
      <c r="J158" s="83"/>
      <c r="K158" s="84"/>
      <c r="L158" s="83"/>
      <c r="M158" s="84"/>
      <c r="N158" s="83"/>
      <c r="O158" s="84"/>
      <c r="P158" s="83"/>
      <c r="Q158" s="84"/>
      <c r="R158" s="83"/>
      <c r="S158" s="84"/>
      <c r="T158" s="83"/>
      <c r="U158" s="84"/>
      <c r="V158" s="83"/>
      <c r="W158" s="84"/>
      <c r="X158" s="81"/>
      <c r="Y158" s="82"/>
      <c r="Z158" s="81"/>
      <c r="AA158" s="90"/>
      <c r="AB158" s="98">
        <f>SUM(AB159:AB160)</f>
        <v>2336</v>
      </c>
    </row>
    <row r="159" spans="3:32" ht="16" thickBot="1" x14ac:dyDescent="0.4">
      <c r="C159" s="44" t="s">
        <v>22</v>
      </c>
      <c r="D159" s="389"/>
      <c r="E159" s="388"/>
      <c r="F159" s="389"/>
      <c r="G159" s="388"/>
      <c r="H159" s="389"/>
      <c r="I159" s="388"/>
      <c r="J159" s="389"/>
      <c r="K159" s="388"/>
      <c r="L159" s="389"/>
      <c r="M159" s="388"/>
      <c r="N159" s="389"/>
      <c r="O159" s="388"/>
      <c r="P159" s="389"/>
      <c r="Q159" s="388"/>
      <c r="R159" s="389"/>
      <c r="S159" s="388"/>
      <c r="T159" s="389"/>
      <c r="U159" s="388"/>
      <c r="V159" s="389"/>
      <c r="W159" s="388"/>
      <c r="X159" s="387">
        <v>8</v>
      </c>
      <c r="Y159" s="441">
        <v>8</v>
      </c>
      <c r="Z159" s="399"/>
      <c r="AA159" s="390"/>
      <c r="AB159" s="99">
        <f>SUM(D159:AA159)*$B$35/2</f>
        <v>1168</v>
      </c>
    </row>
    <row r="160" spans="3:32" ht="16" thickBot="1" x14ac:dyDescent="0.4">
      <c r="C160" s="46" t="s">
        <v>23</v>
      </c>
      <c r="D160" s="391"/>
      <c r="E160" s="395"/>
      <c r="F160" s="391"/>
      <c r="G160" s="395"/>
      <c r="H160" s="391"/>
      <c r="I160" s="395"/>
      <c r="J160" s="391"/>
      <c r="K160" s="395"/>
      <c r="L160" s="391"/>
      <c r="M160" s="395"/>
      <c r="N160" s="391"/>
      <c r="O160" s="395"/>
      <c r="P160" s="391"/>
      <c r="Q160" s="395"/>
      <c r="R160" s="391"/>
      <c r="S160" s="395"/>
      <c r="T160" s="391"/>
      <c r="U160" s="395"/>
      <c r="V160" s="391"/>
      <c r="W160" s="395"/>
      <c r="X160" s="391"/>
      <c r="Y160" s="395"/>
      <c r="Z160" s="442">
        <v>8</v>
      </c>
      <c r="AA160" s="443">
        <v>8</v>
      </c>
      <c r="AB160" s="100">
        <f>SUM(D160:AA160)*$B$35/2</f>
        <v>1168</v>
      </c>
      <c r="AE160" t="s">
        <v>24</v>
      </c>
    </row>
    <row r="161" spans="2:28" ht="16.5" thickTop="1" thickBot="1" x14ac:dyDescent="0.4">
      <c r="C161" s="91" t="s">
        <v>9</v>
      </c>
      <c r="D161" s="92">
        <f t="shared" ref="D161:AA161" si="22">SUM(D133:D160)</f>
        <v>0</v>
      </c>
      <c r="E161" s="93">
        <f t="shared" si="22"/>
        <v>8</v>
      </c>
      <c r="F161" s="93">
        <f t="shared" si="22"/>
        <v>8</v>
      </c>
      <c r="G161" s="93">
        <f t="shared" si="22"/>
        <v>8</v>
      </c>
      <c r="H161" s="93">
        <f t="shared" si="22"/>
        <v>8</v>
      </c>
      <c r="I161" s="93">
        <f t="shared" si="22"/>
        <v>8</v>
      </c>
      <c r="J161" s="93">
        <f t="shared" si="22"/>
        <v>8</v>
      </c>
      <c r="K161" s="93">
        <f t="shared" si="22"/>
        <v>8</v>
      </c>
      <c r="L161" s="93">
        <f t="shared" si="22"/>
        <v>8</v>
      </c>
      <c r="M161" s="93">
        <f t="shared" si="22"/>
        <v>8</v>
      </c>
      <c r="N161" s="93">
        <f t="shared" si="22"/>
        <v>8</v>
      </c>
      <c r="O161" s="93">
        <f t="shared" si="22"/>
        <v>8</v>
      </c>
      <c r="P161" s="93">
        <f t="shared" si="22"/>
        <v>8</v>
      </c>
      <c r="Q161" s="93">
        <f t="shared" si="22"/>
        <v>8</v>
      </c>
      <c r="R161" s="93">
        <f t="shared" si="22"/>
        <v>8</v>
      </c>
      <c r="S161" s="93">
        <f t="shared" si="22"/>
        <v>8</v>
      </c>
      <c r="T161" s="93">
        <f t="shared" si="22"/>
        <v>8</v>
      </c>
      <c r="U161" s="93">
        <f t="shared" si="22"/>
        <v>8</v>
      </c>
      <c r="V161" s="93">
        <f t="shared" si="22"/>
        <v>8</v>
      </c>
      <c r="W161" s="93">
        <f t="shared" si="22"/>
        <v>8</v>
      </c>
      <c r="X161" s="93">
        <f t="shared" si="22"/>
        <v>8</v>
      </c>
      <c r="Y161" s="93">
        <f t="shared" si="22"/>
        <v>8</v>
      </c>
      <c r="Z161" s="93">
        <f t="shared" si="22"/>
        <v>8</v>
      </c>
      <c r="AA161" s="94">
        <f t="shared" si="22"/>
        <v>8</v>
      </c>
      <c r="AB161" s="101">
        <f>AB133+AB136+AB142+AB147+AB151+AB155+AB158</f>
        <v>13432</v>
      </c>
    </row>
    <row r="162" spans="2:28" ht="16" thickTop="1" x14ac:dyDescent="0.35"/>
    <row r="163" spans="2:28" ht="16" thickBot="1" x14ac:dyDescent="0.4"/>
    <row r="164" spans="2:28" ht="16.5" thickTop="1" thickBot="1" x14ac:dyDescent="0.4">
      <c r="B164" s="52" t="s">
        <v>107</v>
      </c>
      <c r="C164" s="52" t="s">
        <v>9</v>
      </c>
      <c r="D164" s="462">
        <v>1</v>
      </c>
      <c r="E164" s="462"/>
      <c r="F164" s="462">
        <v>2</v>
      </c>
      <c r="G164" s="462"/>
      <c r="H164" s="462">
        <v>3</v>
      </c>
      <c r="I164" s="462"/>
      <c r="J164" s="462">
        <v>4</v>
      </c>
      <c r="K164" s="462"/>
      <c r="L164" s="462">
        <v>5</v>
      </c>
      <c r="M164" s="462"/>
      <c r="N164" s="462">
        <v>6</v>
      </c>
      <c r="O164" s="462"/>
      <c r="P164" s="462">
        <v>7</v>
      </c>
      <c r="Q164" s="462"/>
      <c r="R164" s="462">
        <v>8</v>
      </c>
      <c r="S164" s="462"/>
      <c r="T164" s="462">
        <v>9</v>
      </c>
      <c r="U164" s="462"/>
      <c r="V164" s="462">
        <v>10</v>
      </c>
      <c r="W164" s="462"/>
      <c r="X164" s="462">
        <v>11</v>
      </c>
      <c r="Y164" s="462"/>
      <c r="Z164" s="462">
        <v>12</v>
      </c>
      <c r="AA164" s="463"/>
      <c r="AB164" s="97" t="s">
        <v>25</v>
      </c>
    </row>
    <row r="165" spans="2:28" ht="16.5" thickTop="1" thickBot="1" x14ac:dyDescent="0.4">
      <c r="B165" s="289">
        <v>0</v>
      </c>
      <c r="C165" s="38" t="s">
        <v>18</v>
      </c>
      <c r="D165" s="81"/>
      <c r="E165" s="82"/>
      <c r="F165" s="406"/>
      <c r="G165" s="407"/>
      <c r="H165" s="83"/>
      <c r="I165" s="84"/>
      <c r="J165" s="83"/>
      <c r="K165" s="84"/>
      <c r="L165" s="83"/>
      <c r="M165" s="84"/>
      <c r="N165" s="83"/>
      <c r="O165" s="84"/>
      <c r="P165" s="83"/>
      <c r="Q165" s="84"/>
      <c r="R165" s="83"/>
      <c r="S165" s="84"/>
      <c r="T165" s="83"/>
      <c r="U165" s="84"/>
      <c r="V165" s="83"/>
      <c r="W165" s="84"/>
      <c r="X165" s="83"/>
      <c r="Y165" s="84"/>
      <c r="Z165" s="83"/>
      <c r="AA165" s="85"/>
      <c r="AB165" s="98">
        <f>SUM(AB166:AB167)</f>
        <v>1460</v>
      </c>
    </row>
    <row r="166" spans="2:28" ht="16" thickBot="1" x14ac:dyDescent="0.4">
      <c r="B166" s="290"/>
      <c r="C166" s="44" t="s">
        <v>19</v>
      </c>
      <c r="D166" s="387">
        <v>6</v>
      </c>
      <c r="E166" s="388"/>
      <c r="F166" s="389"/>
      <c r="G166" s="388"/>
      <c r="H166" s="389"/>
      <c r="I166" s="388"/>
      <c r="J166" s="389"/>
      <c r="K166" s="388"/>
      <c r="L166" s="389"/>
      <c r="M166" s="388"/>
      <c r="N166" s="389"/>
      <c r="O166" s="388"/>
      <c r="P166" s="389"/>
      <c r="Q166" s="388"/>
      <c r="R166" s="389"/>
      <c r="S166" s="388"/>
      <c r="T166" s="389"/>
      <c r="U166" s="388"/>
      <c r="V166" s="389"/>
      <c r="W166" s="388"/>
      <c r="X166" s="389"/>
      <c r="Y166" s="388"/>
      <c r="Z166" s="389"/>
      <c r="AA166" s="390"/>
      <c r="AB166" s="99">
        <f>SUM(D166:AA166)*$B$35/2</f>
        <v>438</v>
      </c>
    </row>
    <row r="167" spans="2:28" ht="16" thickBot="1" x14ac:dyDescent="0.4">
      <c r="B167" s="291"/>
      <c r="C167" s="46" t="s">
        <v>20</v>
      </c>
      <c r="D167" s="391"/>
      <c r="E167" s="392">
        <v>14</v>
      </c>
      <c r="F167" s="393"/>
      <c r="G167" s="394"/>
      <c r="H167" s="391"/>
      <c r="I167" s="395"/>
      <c r="J167" s="391"/>
      <c r="K167" s="395"/>
      <c r="L167" s="391"/>
      <c r="M167" s="395"/>
      <c r="N167" s="391"/>
      <c r="O167" s="395"/>
      <c r="P167" s="391"/>
      <c r="Q167" s="395"/>
      <c r="R167" s="391"/>
      <c r="S167" s="395"/>
      <c r="T167" s="391"/>
      <c r="U167" s="395"/>
      <c r="V167" s="391"/>
      <c r="W167" s="395"/>
      <c r="X167" s="391"/>
      <c r="Y167" s="395"/>
      <c r="Z167" s="391"/>
      <c r="AA167" s="396"/>
      <c r="AB167" s="100">
        <f>SUM(D167:AA167)*$B$35/2</f>
        <v>1022</v>
      </c>
    </row>
    <row r="168" spans="2:28" ht="16.5" thickTop="1" thickBot="1" x14ac:dyDescent="0.4">
      <c r="B168" s="292">
        <v>1</v>
      </c>
      <c r="C168" s="53" t="s">
        <v>121</v>
      </c>
      <c r="D168" s="83"/>
      <c r="E168" s="84"/>
      <c r="F168" s="86"/>
      <c r="G168" s="87"/>
      <c r="H168" s="86"/>
      <c r="I168" s="87"/>
      <c r="J168" s="86"/>
      <c r="K168" s="87"/>
      <c r="L168" s="86"/>
      <c r="M168" s="87"/>
      <c r="N168" s="86"/>
      <c r="O168" s="87"/>
      <c r="P168" s="86"/>
      <c r="Q168" s="87"/>
      <c r="R168" s="86"/>
      <c r="S168" s="87"/>
      <c r="T168" s="86"/>
      <c r="U168" s="87"/>
      <c r="V168" s="86"/>
      <c r="W168" s="87"/>
      <c r="X168" s="83"/>
      <c r="Y168" s="84"/>
      <c r="Z168" s="83"/>
      <c r="AA168" s="85"/>
      <c r="AB168" s="98">
        <f>SUM(AB169:AB173)</f>
        <v>6438.6</v>
      </c>
    </row>
    <row r="169" spans="2:28" ht="16" thickBot="1" x14ac:dyDescent="0.4">
      <c r="B169" s="293"/>
      <c r="C169" s="56" t="s">
        <v>122</v>
      </c>
      <c r="D169" s="389"/>
      <c r="E169" s="388"/>
      <c r="F169" s="397">
        <v>4.9000000000000004</v>
      </c>
      <c r="G169" s="398">
        <v>4.9000000000000004</v>
      </c>
      <c r="H169" s="399"/>
      <c r="I169" s="400"/>
      <c r="J169" s="399"/>
      <c r="K169" s="400"/>
      <c r="L169" s="399"/>
      <c r="M169" s="400"/>
      <c r="N169" s="399"/>
      <c r="O169" s="400"/>
      <c r="P169" s="399"/>
      <c r="Q169" s="400"/>
      <c r="R169" s="399"/>
      <c r="S169" s="400"/>
      <c r="T169" s="399"/>
      <c r="U169" s="400"/>
      <c r="V169" s="399"/>
      <c r="W169" s="400"/>
      <c r="X169" s="389"/>
      <c r="Y169" s="388"/>
      <c r="Z169" s="389"/>
      <c r="AA169" s="390"/>
      <c r="AB169" s="99">
        <f>SUM(D169:AA169)*$B$35/2</f>
        <v>715.40000000000009</v>
      </c>
    </row>
    <row r="170" spans="2:28" ht="16" thickBot="1" x14ac:dyDescent="0.4">
      <c r="B170" s="293"/>
      <c r="C170" s="56" t="s">
        <v>123</v>
      </c>
      <c r="D170" s="389"/>
      <c r="E170" s="388"/>
      <c r="F170" s="389"/>
      <c r="G170" s="388"/>
      <c r="H170" s="397">
        <v>4.9000000000000004</v>
      </c>
      <c r="I170" s="397">
        <v>4.9000000000000004</v>
      </c>
      <c r="J170" s="397">
        <v>4.9000000000000004</v>
      </c>
      <c r="K170" s="397">
        <v>4.9000000000000004</v>
      </c>
      <c r="L170" s="399"/>
      <c r="M170" s="400"/>
      <c r="N170" s="399"/>
      <c r="O170" s="400"/>
      <c r="P170" s="399"/>
      <c r="Q170" s="400"/>
      <c r="R170" s="399"/>
      <c r="S170" s="400"/>
      <c r="T170" s="399"/>
      <c r="U170" s="400"/>
      <c r="V170" s="399"/>
      <c r="W170" s="400"/>
      <c r="X170" s="389"/>
      <c r="Y170" s="388"/>
      <c r="Z170" s="389"/>
      <c r="AA170" s="390"/>
      <c r="AB170" s="99">
        <f>SUM(D170:AA170)*$B$35/2</f>
        <v>1430.8000000000002</v>
      </c>
    </row>
    <row r="171" spans="2:28" ht="16" thickBot="1" x14ac:dyDescent="0.4">
      <c r="B171" s="293"/>
      <c r="C171" s="56" t="s">
        <v>124</v>
      </c>
      <c r="D171" s="389"/>
      <c r="E171" s="388"/>
      <c r="F171" s="389"/>
      <c r="G171" s="388"/>
      <c r="H171" s="399"/>
      <c r="I171" s="400"/>
      <c r="J171" s="399"/>
      <c r="K171" s="400"/>
      <c r="L171" s="397">
        <v>4.9000000000000004</v>
      </c>
      <c r="M171" s="397">
        <v>4.9000000000000004</v>
      </c>
      <c r="N171" s="397">
        <v>4.9000000000000004</v>
      </c>
      <c r="O171" s="397">
        <v>4.9000000000000004</v>
      </c>
      <c r="P171" s="397">
        <v>4.9000000000000004</v>
      </c>
      <c r="Q171" s="397">
        <v>4.9000000000000004</v>
      </c>
      <c r="R171" s="399"/>
      <c r="S171" s="400"/>
      <c r="T171" s="399"/>
      <c r="U171" s="400"/>
      <c r="V171" s="399"/>
      <c r="W171" s="400"/>
      <c r="X171" s="389"/>
      <c r="Y171" s="388"/>
      <c r="Z171" s="389"/>
      <c r="AA171" s="390"/>
      <c r="AB171" s="99">
        <f>SUM(D171:AA171)*$B$35/2</f>
        <v>2146.1999999999998</v>
      </c>
    </row>
    <row r="172" spans="2:28" ht="16" thickBot="1" x14ac:dyDescent="0.4">
      <c r="B172" s="293"/>
      <c r="C172" s="336" t="s">
        <v>150</v>
      </c>
      <c r="D172" s="401"/>
      <c r="E172" s="402"/>
      <c r="F172" s="401"/>
      <c r="G172" s="402"/>
      <c r="H172" s="403"/>
      <c r="I172" s="404"/>
      <c r="J172" s="403"/>
      <c r="K172" s="404"/>
      <c r="L172" s="403"/>
      <c r="M172" s="404"/>
      <c r="N172" s="403"/>
      <c r="O172" s="404"/>
      <c r="P172" s="403"/>
      <c r="Q172" s="404"/>
      <c r="R172" s="397">
        <v>4.9000000000000004</v>
      </c>
      <c r="S172" s="397">
        <v>4.9000000000000004</v>
      </c>
      <c r="T172" s="397">
        <v>4.9000000000000004</v>
      </c>
      <c r="U172" s="397">
        <v>4.9000000000000004</v>
      </c>
      <c r="V172" s="403"/>
      <c r="W172" s="404"/>
      <c r="X172" s="401"/>
      <c r="Y172" s="402"/>
      <c r="Z172" s="401"/>
      <c r="AA172" s="405"/>
      <c r="AB172" s="99">
        <f>SUM(D172:AA172)*$B$35/2</f>
        <v>1430.8000000000002</v>
      </c>
    </row>
    <row r="173" spans="2:28" ht="16" thickBot="1" x14ac:dyDescent="0.4">
      <c r="B173" s="294"/>
      <c r="C173" s="57" t="s">
        <v>141</v>
      </c>
      <c r="D173" s="391"/>
      <c r="E173" s="395"/>
      <c r="F173" s="391"/>
      <c r="G173" s="395"/>
      <c r="H173" s="393"/>
      <c r="I173" s="394"/>
      <c r="J173" s="393"/>
      <c r="K173" s="394"/>
      <c r="L173" s="393"/>
      <c r="M173" s="394"/>
      <c r="N173" s="393"/>
      <c r="O173" s="394"/>
      <c r="P173" s="393"/>
      <c r="Q173" s="394"/>
      <c r="R173" s="393"/>
      <c r="S173" s="394"/>
      <c r="T173" s="393"/>
      <c r="U173" s="394"/>
      <c r="V173" s="397">
        <v>4.9000000000000004</v>
      </c>
      <c r="W173" s="397">
        <v>4.9000000000000004</v>
      </c>
      <c r="X173" s="391"/>
      <c r="Y173" s="395"/>
      <c r="Z173" s="391"/>
      <c r="AA173" s="396"/>
      <c r="AB173" s="99">
        <f>SUM(D173:AA173)*$B$35/2</f>
        <v>715.40000000000009</v>
      </c>
    </row>
    <row r="174" spans="2:28" ht="16.5" thickTop="1" thickBot="1" x14ac:dyDescent="0.4">
      <c r="B174" s="295">
        <v>2</v>
      </c>
      <c r="C174" s="360" t="s">
        <v>128</v>
      </c>
      <c r="D174" s="83"/>
      <c r="E174" s="84"/>
      <c r="F174" s="412"/>
      <c r="G174" s="413"/>
      <c r="H174" s="412"/>
      <c r="I174" s="413"/>
      <c r="J174" s="412"/>
      <c r="K174" s="413"/>
      <c r="L174" s="412"/>
      <c r="M174" s="413"/>
      <c r="N174" s="412"/>
      <c r="O174" s="413"/>
      <c r="P174" s="412"/>
      <c r="Q174" s="407"/>
      <c r="R174" s="406"/>
      <c r="S174" s="407"/>
      <c r="T174" s="406"/>
      <c r="U174" s="407"/>
      <c r="V174" s="406"/>
      <c r="W174" s="407"/>
      <c r="X174" s="83"/>
      <c r="Y174" s="84"/>
      <c r="Z174" s="83"/>
      <c r="AA174" s="85"/>
      <c r="AB174" s="98">
        <f>SUM(AB175:AB178)</f>
        <v>3653.65</v>
      </c>
    </row>
    <row r="175" spans="2:28" ht="16" thickBot="1" x14ac:dyDescent="0.4">
      <c r="B175" s="296"/>
      <c r="C175" s="73" t="s">
        <v>129</v>
      </c>
      <c r="D175" s="414"/>
      <c r="E175" s="415"/>
      <c r="F175" s="416">
        <v>4.55</v>
      </c>
      <c r="G175" s="418"/>
      <c r="H175" s="417"/>
      <c r="I175" s="418"/>
      <c r="J175" s="417"/>
      <c r="K175" s="418"/>
      <c r="L175" s="417"/>
      <c r="M175" s="418"/>
      <c r="N175" s="417"/>
      <c r="O175" s="418"/>
      <c r="P175" s="417"/>
      <c r="Q175" s="418"/>
      <c r="R175" s="417"/>
      <c r="S175" s="418"/>
      <c r="T175" s="417"/>
      <c r="U175" s="418"/>
      <c r="V175" s="417"/>
      <c r="W175" s="418"/>
      <c r="X175" s="414"/>
      <c r="Y175" s="415"/>
      <c r="Z175" s="414"/>
      <c r="AA175" s="419"/>
      <c r="AB175" s="99">
        <f>SUM(D175:AA175)*$B$35/2</f>
        <v>332.15</v>
      </c>
    </row>
    <row r="176" spans="2:28" ht="16" thickBot="1" x14ac:dyDescent="0.4">
      <c r="B176" s="296"/>
      <c r="C176" s="73" t="s">
        <v>130</v>
      </c>
      <c r="D176" s="414"/>
      <c r="E176" s="415"/>
      <c r="F176" s="417"/>
      <c r="G176" s="420">
        <v>4.55</v>
      </c>
      <c r="H176" s="416">
        <v>4.55</v>
      </c>
      <c r="I176" s="420">
        <v>4.55</v>
      </c>
      <c r="J176" s="416">
        <v>4.55</v>
      </c>
      <c r="K176" s="420">
        <v>4.55</v>
      </c>
      <c r="L176" s="417"/>
      <c r="M176" s="418"/>
      <c r="N176" s="417"/>
      <c r="O176" s="418"/>
      <c r="P176" s="417"/>
      <c r="Q176" s="418"/>
      <c r="R176" s="417"/>
      <c r="S176" s="418"/>
      <c r="T176" s="417"/>
      <c r="U176" s="418"/>
      <c r="V176" s="417"/>
      <c r="W176" s="418"/>
      <c r="X176" s="414"/>
      <c r="Y176" s="415"/>
      <c r="Z176" s="414"/>
      <c r="AA176" s="419"/>
      <c r="AB176" s="99">
        <f>SUM(D176:AA176)*$B$35/2</f>
        <v>1660.75</v>
      </c>
    </row>
    <row r="177" spans="2:32" ht="16" thickBot="1" x14ac:dyDescent="0.4">
      <c r="B177" s="296"/>
      <c r="C177" s="73" t="s">
        <v>131</v>
      </c>
      <c r="D177" s="414"/>
      <c r="E177" s="415"/>
      <c r="F177" s="417"/>
      <c r="G177" s="418"/>
      <c r="H177" s="417"/>
      <c r="I177" s="418"/>
      <c r="J177" s="417"/>
      <c r="K177" s="418"/>
      <c r="L177" s="416">
        <v>4.55</v>
      </c>
      <c r="M177" s="420">
        <v>4.55</v>
      </c>
      <c r="N177" s="416">
        <v>4.55</v>
      </c>
      <c r="O177" s="420">
        <v>4.55</v>
      </c>
      <c r="P177" s="417"/>
      <c r="Q177" s="418"/>
      <c r="R177" s="417"/>
      <c r="S177" s="418"/>
      <c r="T177" s="417"/>
      <c r="U177" s="418"/>
      <c r="V177" s="417"/>
      <c r="W177" s="418"/>
      <c r="X177" s="414"/>
      <c r="Y177" s="415"/>
      <c r="Z177" s="414"/>
      <c r="AA177" s="419"/>
      <c r="AB177" s="99">
        <f>SUM(D177:AA177)*$B$35/2</f>
        <v>1328.6</v>
      </c>
    </row>
    <row r="178" spans="2:32" ht="16" thickBot="1" x14ac:dyDescent="0.4">
      <c r="B178" s="297"/>
      <c r="C178" s="75" t="s">
        <v>151</v>
      </c>
      <c r="D178" s="421"/>
      <c r="E178" s="422"/>
      <c r="F178" s="423"/>
      <c r="G178" s="424"/>
      <c r="H178" s="423"/>
      <c r="I178" s="424"/>
      <c r="J178" s="423"/>
      <c r="K178" s="424"/>
      <c r="L178" s="423"/>
      <c r="M178" s="424"/>
      <c r="N178" s="423"/>
      <c r="O178" s="424"/>
      <c r="P178" s="444">
        <v>4.55</v>
      </c>
      <c r="Q178" s="424"/>
      <c r="R178" s="423"/>
      <c r="S178" s="424"/>
      <c r="T178" s="423"/>
      <c r="U178" s="424"/>
      <c r="V178" s="423"/>
      <c r="W178" s="424"/>
      <c r="X178" s="421"/>
      <c r="Y178" s="422"/>
      <c r="Z178" s="421"/>
      <c r="AA178" s="425"/>
      <c r="AB178" s="99">
        <f>SUM(D178:AA178)*$B$35/2</f>
        <v>332.15</v>
      </c>
      <c r="AF178" t="s">
        <v>24</v>
      </c>
    </row>
    <row r="179" spans="2:32" ht="16.5" thickTop="1" thickBot="1" x14ac:dyDescent="0.4">
      <c r="B179" s="295">
        <v>2</v>
      </c>
      <c r="C179" s="369" t="s">
        <v>132</v>
      </c>
      <c r="D179" s="426"/>
      <c r="E179" s="427"/>
      <c r="F179" s="426"/>
      <c r="G179" s="427"/>
      <c r="H179" s="426"/>
      <c r="I179" s="427"/>
      <c r="J179" s="426"/>
      <c r="K179" s="427"/>
      <c r="L179" s="428"/>
      <c r="M179" s="429"/>
      <c r="N179" s="428"/>
      <c r="O179" s="429"/>
      <c r="P179" s="428"/>
      <c r="Q179" s="431"/>
      <c r="R179" s="430"/>
      <c r="S179" s="431"/>
      <c r="T179" s="430"/>
      <c r="U179" s="431"/>
      <c r="V179" s="430"/>
      <c r="W179" s="431"/>
      <c r="X179" s="426"/>
      <c r="Y179" s="427"/>
      <c r="Z179" s="426"/>
      <c r="AA179" s="432"/>
      <c r="AB179" s="98">
        <f>SUM(AB180:AB182)</f>
        <v>2325.0499999999997</v>
      </c>
    </row>
    <row r="180" spans="2:32" ht="16" thickBot="1" x14ac:dyDescent="0.4">
      <c r="B180" s="449"/>
      <c r="C180" s="370" t="s">
        <v>125</v>
      </c>
      <c r="D180" s="401"/>
      <c r="E180" s="402"/>
      <c r="F180" s="401"/>
      <c r="G180" s="402"/>
      <c r="H180" s="401"/>
      <c r="I180" s="402"/>
      <c r="J180" s="401"/>
      <c r="K180" s="402"/>
      <c r="L180" s="403"/>
      <c r="M180" s="404"/>
      <c r="N180" s="403"/>
      <c r="O180" s="404"/>
      <c r="P180" s="403"/>
      <c r="Q180" s="434">
        <v>4.55</v>
      </c>
      <c r="R180" s="403"/>
      <c r="S180" s="404"/>
      <c r="T180" s="403"/>
      <c r="U180" s="404"/>
      <c r="V180" s="403"/>
      <c r="W180" s="404"/>
      <c r="X180" s="401"/>
      <c r="Y180" s="402"/>
      <c r="Z180" s="401"/>
      <c r="AA180" s="405"/>
      <c r="AB180" s="99">
        <f>SUM(D180:AA180)*$B$35/2</f>
        <v>332.15</v>
      </c>
    </row>
    <row r="181" spans="2:32" ht="16" thickBot="1" x14ac:dyDescent="0.4">
      <c r="B181" s="449"/>
      <c r="C181" s="370" t="s">
        <v>133</v>
      </c>
      <c r="D181" s="401"/>
      <c r="E181" s="402"/>
      <c r="F181" s="401"/>
      <c r="G181" s="402"/>
      <c r="H181" s="401"/>
      <c r="I181" s="402"/>
      <c r="J181" s="401"/>
      <c r="K181" s="402"/>
      <c r="L181" s="403"/>
      <c r="M181" s="404"/>
      <c r="N181" s="403"/>
      <c r="O181" s="404"/>
      <c r="P181" s="403"/>
      <c r="Q181" s="404"/>
      <c r="R181" s="433">
        <v>4.55</v>
      </c>
      <c r="S181" s="434">
        <v>4.55</v>
      </c>
      <c r="T181" s="433">
        <v>4.55</v>
      </c>
      <c r="U181" s="404"/>
      <c r="V181" s="403"/>
      <c r="W181" s="404"/>
      <c r="X181" s="401"/>
      <c r="Y181" s="402"/>
      <c r="Z181" s="401"/>
      <c r="AA181" s="405"/>
      <c r="AB181" s="99">
        <f>SUM(D181:AA181)*$B$35/2</f>
        <v>996.44999999999993</v>
      </c>
    </row>
    <row r="182" spans="2:32" ht="16" thickBot="1" x14ac:dyDescent="0.4">
      <c r="B182" s="449"/>
      <c r="C182" s="371" t="s">
        <v>134</v>
      </c>
      <c r="D182" s="391"/>
      <c r="E182" s="395"/>
      <c r="F182" s="391"/>
      <c r="G182" s="395"/>
      <c r="H182" s="391"/>
      <c r="I182" s="395"/>
      <c r="J182" s="391"/>
      <c r="K182" s="395"/>
      <c r="L182" s="393"/>
      <c r="M182" s="394"/>
      <c r="N182" s="393"/>
      <c r="O182" s="394"/>
      <c r="P182" s="393"/>
      <c r="Q182" s="394"/>
      <c r="R182" s="393"/>
      <c r="S182" s="394"/>
      <c r="T182" s="393"/>
      <c r="U182" s="436">
        <v>4.55</v>
      </c>
      <c r="V182" s="435">
        <v>4.55</v>
      </c>
      <c r="W182" s="436">
        <v>4.55</v>
      </c>
      <c r="X182" s="391"/>
      <c r="Y182" s="395"/>
      <c r="Z182" s="391"/>
      <c r="AA182" s="396"/>
      <c r="AB182" s="99">
        <f>SUM(D182:AA182)*$B$35/2</f>
        <v>996.44999999999993</v>
      </c>
    </row>
    <row r="183" spans="2:32" ht="16.5" thickTop="1" thickBot="1" x14ac:dyDescent="0.4">
      <c r="B183" s="450">
        <v>3</v>
      </c>
      <c r="C183" s="368" t="s">
        <v>135</v>
      </c>
      <c r="D183" s="426"/>
      <c r="E183" s="427"/>
      <c r="F183" s="437"/>
      <c r="G183" s="438"/>
      <c r="H183" s="437"/>
      <c r="I183" s="438"/>
      <c r="J183" s="437"/>
      <c r="K183" s="438"/>
      <c r="L183" s="437"/>
      <c r="M183" s="438"/>
      <c r="N183" s="437"/>
      <c r="O183" s="438"/>
      <c r="P183" s="437"/>
      <c r="Q183" s="438"/>
      <c r="R183" s="437"/>
      <c r="S183" s="438"/>
      <c r="T183" s="428"/>
      <c r="U183" s="429"/>
      <c r="V183" s="428"/>
      <c r="W183" s="429"/>
      <c r="X183" s="426"/>
      <c r="Y183" s="427"/>
      <c r="Z183" s="426"/>
      <c r="AA183" s="432"/>
      <c r="AB183" s="98">
        <f>SUM(AB184:AB186)</f>
        <v>4650.1000000000004</v>
      </c>
    </row>
    <row r="184" spans="2:32" ht="16" thickBot="1" x14ac:dyDescent="0.4">
      <c r="B184" s="451"/>
      <c r="C184" s="367" t="s">
        <v>126</v>
      </c>
      <c r="D184" s="401"/>
      <c r="E184" s="402"/>
      <c r="F184" s="439">
        <v>4.55</v>
      </c>
      <c r="G184" s="440">
        <v>4.55</v>
      </c>
      <c r="H184" s="403"/>
      <c r="I184" s="404"/>
      <c r="J184" s="403"/>
      <c r="K184" s="404"/>
      <c r="L184" s="403"/>
      <c r="M184" s="404"/>
      <c r="N184" s="403"/>
      <c r="O184" s="404"/>
      <c r="P184" s="403"/>
      <c r="Q184" s="404"/>
      <c r="R184" s="403"/>
      <c r="S184" s="404"/>
      <c r="T184" s="401"/>
      <c r="U184" s="402"/>
      <c r="V184" s="401"/>
      <c r="W184" s="402"/>
      <c r="X184" s="401"/>
      <c r="Y184" s="402"/>
      <c r="Z184" s="401"/>
      <c r="AA184" s="405"/>
      <c r="AB184" s="99">
        <f>SUM(D184:AA184)*$B$35/2</f>
        <v>664.3</v>
      </c>
    </row>
    <row r="185" spans="2:32" ht="16" thickBot="1" x14ac:dyDescent="0.4">
      <c r="B185" s="451"/>
      <c r="C185" s="367" t="s">
        <v>136</v>
      </c>
      <c r="D185" s="401"/>
      <c r="E185" s="402"/>
      <c r="F185" s="403"/>
      <c r="G185" s="404"/>
      <c r="H185" s="439">
        <v>4.55</v>
      </c>
      <c r="I185" s="440">
        <v>4.55</v>
      </c>
      <c r="J185" s="439">
        <v>4.55</v>
      </c>
      <c r="K185" s="440">
        <v>4.55</v>
      </c>
      <c r="L185" s="439">
        <v>4.55</v>
      </c>
      <c r="M185" s="440">
        <v>4.55</v>
      </c>
      <c r="N185" s="403"/>
      <c r="O185" s="404"/>
      <c r="P185" s="403"/>
      <c r="Q185" s="404"/>
      <c r="R185" s="403"/>
      <c r="S185" s="404"/>
      <c r="T185" s="401"/>
      <c r="U185" s="402"/>
      <c r="V185" s="401"/>
      <c r="W185" s="402"/>
      <c r="X185" s="401"/>
      <c r="Y185" s="402"/>
      <c r="Z185" s="401"/>
      <c r="AA185" s="405"/>
      <c r="AB185" s="99">
        <f>SUM(D185:AA185)*$B$35/2</f>
        <v>1992.9</v>
      </c>
    </row>
    <row r="186" spans="2:32" ht="16" thickBot="1" x14ac:dyDescent="0.4">
      <c r="B186" s="451"/>
      <c r="C186" s="367" t="s">
        <v>137</v>
      </c>
      <c r="D186" s="401"/>
      <c r="E186" s="402"/>
      <c r="F186" s="403"/>
      <c r="G186" s="404"/>
      <c r="H186" s="403"/>
      <c r="I186" s="404"/>
      <c r="J186" s="403"/>
      <c r="K186" s="404"/>
      <c r="L186" s="403"/>
      <c r="M186" s="404"/>
      <c r="N186" s="439">
        <v>4.55</v>
      </c>
      <c r="O186" s="440">
        <v>4.55</v>
      </c>
      <c r="P186" s="439">
        <v>4.55</v>
      </c>
      <c r="Q186" s="440">
        <v>4.55</v>
      </c>
      <c r="R186" s="439">
        <v>4.55</v>
      </c>
      <c r="S186" s="440">
        <v>4.55</v>
      </c>
      <c r="T186" s="401"/>
      <c r="U186" s="402"/>
      <c r="V186" s="401"/>
      <c r="W186" s="402"/>
      <c r="X186" s="401"/>
      <c r="Y186" s="402"/>
      <c r="Z186" s="401"/>
      <c r="AA186" s="405"/>
      <c r="AB186" s="99">
        <f>SUM(D186:AA186)*$B$35/2</f>
        <v>1992.9</v>
      </c>
    </row>
    <row r="187" spans="2:32" ht="16.5" thickTop="1" thickBot="1" x14ac:dyDescent="0.4">
      <c r="B187" s="450">
        <v>3</v>
      </c>
      <c r="C187" s="341" t="s">
        <v>138</v>
      </c>
      <c r="D187" s="83"/>
      <c r="E187" s="84"/>
      <c r="F187" s="406"/>
      <c r="G187" s="407"/>
      <c r="H187" s="406"/>
      <c r="I187" s="407"/>
      <c r="J187" s="406"/>
      <c r="K187" s="407"/>
      <c r="L187" s="406"/>
      <c r="M187" s="407"/>
      <c r="N187" s="406"/>
      <c r="O187" s="407"/>
      <c r="P187" s="406"/>
      <c r="Q187" s="407"/>
      <c r="R187" s="406"/>
      <c r="S187" s="407"/>
      <c r="T187" s="408"/>
      <c r="U187" s="409"/>
      <c r="V187" s="408"/>
      <c r="W187" s="409"/>
      <c r="X187" s="83"/>
      <c r="Y187" s="84"/>
      <c r="Z187" s="83"/>
      <c r="AA187" s="85"/>
      <c r="AB187" s="98">
        <f>SUM(AB188:AB189)</f>
        <v>1328.6</v>
      </c>
    </row>
    <row r="188" spans="2:32" ht="16" thickBot="1" x14ac:dyDescent="0.4">
      <c r="B188" s="451"/>
      <c r="C188" s="340" t="s">
        <v>139</v>
      </c>
      <c r="D188" s="389"/>
      <c r="E188" s="388"/>
      <c r="F188" s="399"/>
      <c r="G188" s="400"/>
      <c r="H188" s="399"/>
      <c r="I188" s="400"/>
      <c r="J188" s="399"/>
      <c r="K188" s="400"/>
      <c r="L188" s="399"/>
      <c r="M188" s="400"/>
      <c r="N188" s="399"/>
      <c r="O188" s="400"/>
      <c r="P188" s="399"/>
      <c r="Q188" s="400"/>
      <c r="R188" s="399"/>
      <c r="S188" s="400"/>
      <c r="T188" s="410">
        <v>4.55</v>
      </c>
      <c r="U188" s="411">
        <v>4.55</v>
      </c>
      <c r="V188" s="410">
        <v>4.55</v>
      </c>
      <c r="W188" s="388"/>
      <c r="X188" s="389"/>
      <c r="Y188" s="388"/>
      <c r="Z188" s="389"/>
      <c r="AA188" s="390"/>
      <c r="AB188" s="99">
        <f>SUM(D188:AA188)*$B$35/2</f>
        <v>996.44999999999993</v>
      </c>
    </row>
    <row r="189" spans="2:32" ht="16" thickBot="1" x14ac:dyDescent="0.4">
      <c r="B189" s="451"/>
      <c r="C189" s="340" t="s">
        <v>140</v>
      </c>
      <c r="D189" s="389"/>
      <c r="E189" s="388"/>
      <c r="F189" s="399"/>
      <c r="G189" s="400"/>
      <c r="H189" s="399"/>
      <c r="I189" s="400"/>
      <c r="J189" s="399"/>
      <c r="K189" s="400"/>
      <c r="L189" s="399"/>
      <c r="M189" s="400"/>
      <c r="N189" s="399"/>
      <c r="O189" s="400"/>
      <c r="P189" s="399"/>
      <c r="Q189" s="400"/>
      <c r="R189" s="399"/>
      <c r="S189" s="400"/>
      <c r="T189" s="389"/>
      <c r="U189" s="388"/>
      <c r="V189" s="389"/>
      <c r="W189" s="411">
        <v>4.55</v>
      </c>
      <c r="X189" s="389"/>
      <c r="Y189" s="388"/>
      <c r="Z189" s="389"/>
      <c r="AA189" s="390"/>
      <c r="AB189" s="99">
        <f>SUM(D189:AA189)*$B$35/2</f>
        <v>332.15</v>
      </c>
    </row>
    <row r="190" spans="2:32" ht="16.5" thickTop="1" thickBot="1" x14ac:dyDescent="0.4">
      <c r="B190" s="298">
        <v>0</v>
      </c>
      <c r="C190" s="38" t="s">
        <v>21</v>
      </c>
      <c r="D190" s="83"/>
      <c r="E190" s="84"/>
      <c r="F190" s="83"/>
      <c r="G190" s="84"/>
      <c r="H190" s="83"/>
      <c r="I190" s="84"/>
      <c r="J190" s="83"/>
      <c r="K190" s="84"/>
      <c r="L190" s="83"/>
      <c r="M190" s="84"/>
      <c r="N190" s="83"/>
      <c r="O190" s="84"/>
      <c r="P190" s="83"/>
      <c r="Q190" s="84"/>
      <c r="R190" s="83"/>
      <c r="S190" s="84"/>
      <c r="T190" s="83"/>
      <c r="U190" s="84"/>
      <c r="V190" s="83"/>
      <c r="W190" s="84"/>
      <c r="X190" s="81"/>
      <c r="Y190" s="82"/>
      <c r="Z190" s="81"/>
      <c r="AA190" s="90"/>
      <c r="AB190" s="98">
        <f>SUM(AB191:AB192)</f>
        <v>4088</v>
      </c>
    </row>
    <row r="191" spans="2:32" ht="16" thickBot="1" x14ac:dyDescent="0.4">
      <c r="B191" s="299"/>
      <c r="C191" s="44" t="s">
        <v>22</v>
      </c>
      <c r="D191" s="389"/>
      <c r="E191" s="388"/>
      <c r="F191" s="389"/>
      <c r="G191" s="388"/>
      <c r="H191" s="389"/>
      <c r="I191" s="388"/>
      <c r="J191" s="389"/>
      <c r="K191" s="388"/>
      <c r="L191" s="389"/>
      <c r="M191" s="388"/>
      <c r="N191" s="389"/>
      <c r="O191" s="388"/>
      <c r="P191" s="389"/>
      <c r="Q191" s="388"/>
      <c r="R191" s="389"/>
      <c r="S191" s="388"/>
      <c r="T191" s="389"/>
      <c r="U191" s="388"/>
      <c r="V191" s="389"/>
      <c r="W191" s="388"/>
      <c r="X191" s="387">
        <v>14</v>
      </c>
      <c r="Y191" s="441">
        <v>14</v>
      </c>
      <c r="Z191" s="399"/>
      <c r="AA191" s="390"/>
      <c r="AB191" s="99">
        <f>SUM(D191:AA191)*$B$35/2</f>
        <v>2044</v>
      </c>
    </row>
    <row r="192" spans="2:32" ht="16" thickBot="1" x14ac:dyDescent="0.4">
      <c r="B192" s="299"/>
      <c r="C192" s="46" t="s">
        <v>23</v>
      </c>
      <c r="D192" s="391"/>
      <c r="E192" s="395"/>
      <c r="F192" s="391"/>
      <c r="G192" s="395"/>
      <c r="H192" s="391"/>
      <c r="I192" s="395"/>
      <c r="J192" s="391"/>
      <c r="K192" s="395"/>
      <c r="L192" s="391"/>
      <c r="M192" s="395"/>
      <c r="N192" s="391"/>
      <c r="O192" s="395"/>
      <c r="P192" s="391"/>
      <c r="Q192" s="395"/>
      <c r="R192" s="391"/>
      <c r="S192" s="395"/>
      <c r="T192" s="391"/>
      <c r="U192" s="395"/>
      <c r="V192" s="391"/>
      <c r="W192" s="395"/>
      <c r="X192" s="391"/>
      <c r="Y192" s="395"/>
      <c r="Z192" s="442">
        <v>14</v>
      </c>
      <c r="AA192" s="443">
        <v>14</v>
      </c>
      <c r="AB192" s="100">
        <f>SUM(D192:AA192)*$B$35/2</f>
        <v>2044</v>
      </c>
      <c r="AE192" t="s">
        <v>24</v>
      </c>
    </row>
    <row r="193" spans="3:28" ht="16.5" thickTop="1" thickBot="1" x14ac:dyDescent="0.4">
      <c r="C193" s="91" t="s">
        <v>9</v>
      </c>
      <c r="D193" s="92">
        <f t="shared" ref="D193:AA193" si="23">SUM(D165:D192)</f>
        <v>6</v>
      </c>
      <c r="E193" s="93">
        <f t="shared" si="23"/>
        <v>14</v>
      </c>
      <c r="F193" s="93">
        <f t="shared" si="23"/>
        <v>14</v>
      </c>
      <c r="G193" s="93">
        <f t="shared" si="23"/>
        <v>14</v>
      </c>
      <c r="H193" s="93">
        <f t="shared" si="23"/>
        <v>14</v>
      </c>
      <c r="I193" s="93">
        <f t="shared" si="23"/>
        <v>14</v>
      </c>
      <c r="J193" s="93">
        <f t="shared" si="23"/>
        <v>14</v>
      </c>
      <c r="K193" s="93">
        <f t="shared" si="23"/>
        <v>14</v>
      </c>
      <c r="L193" s="93">
        <f t="shared" si="23"/>
        <v>14</v>
      </c>
      <c r="M193" s="93">
        <f t="shared" si="23"/>
        <v>14</v>
      </c>
      <c r="N193" s="93">
        <f t="shared" si="23"/>
        <v>14</v>
      </c>
      <c r="O193" s="93">
        <f t="shared" si="23"/>
        <v>14</v>
      </c>
      <c r="P193" s="93">
        <f t="shared" si="23"/>
        <v>14</v>
      </c>
      <c r="Q193" s="93">
        <f t="shared" si="23"/>
        <v>14</v>
      </c>
      <c r="R193" s="93">
        <f t="shared" si="23"/>
        <v>14</v>
      </c>
      <c r="S193" s="93">
        <f t="shared" si="23"/>
        <v>14</v>
      </c>
      <c r="T193" s="93">
        <f t="shared" si="23"/>
        <v>14</v>
      </c>
      <c r="U193" s="93">
        <f t="shared" si="23"/>
        <v>14</v>
      </c>
      <c r="V193" s="93">
        <f t="shared" si="23"/>
        <v>14</v>
      </c>
      <c r="W193" s="93">
        <f t="shared" si="23"/>
        <v>14</v>
      </c>
      <c r="X193" s="93">
        <f t="shared" si="23"/>
        <v>14</v>
      </c>
      <c r="Y193" s="93">
        <f t="shared" si="23"/>
        <v>14</v>
      </c>
      <c r="Z193" s="93">
        <f t="shared" si="23"/>
        <v>14</v>
      </c>
      <c r="AA193" s="94">
        <f t="shared" si="23"/>
        <v>14</v>
      </c>
      <c r="AB193" s="101">
        <f>AB165+AB168+AB174+AB179+AB183+AB187+AB190</f>
        <v>23944</v>
      </c>
    </row>
    <row r="194" spans="3:28" ht="16" thickTop="1" x14ac:dyDescent="0.35"/>
  </sheetData>
  <mergeCells count="72">
    <mergeCell ref="Z4:AA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38:AA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69:AA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100:AA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32:AA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64:AA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V164:W164"/>
    <mergeCell ref="X164:Y16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2FB3-981A-7042-AE64-10A400DEB32A}">
  <dimension ref="B2:J9"/>
  <sheetViews>
    <sheetView topLeftCell="A2" zoomScaleNormal="100" workbookViewId="0">
      <selection activeCell="F7" sqref="F7"/>
    </sheetView>
  </sheetViews>
  <sheetFormatPr defaultColWidth="10.6640625" defaultRowHeight="15.5" x14ac:dyDescent="0.35"/>
  <cols>
    <col min="1" max="1" width="6" customWidth="1"/>
    <col min="2" max="2" width="7.6640625" style="288" customWidth="1"/>
    <col min="3" max="3" width="9.33203125" style="288" customWidth="1"/>
    <col min="5" max="5" width="43.08203125" customWidth="1"/>
    <col min="6" max="6" width="9" style="288" customWidth="1"/>
    <col min="8" max="8" width="14.33203125" bestFit="1" customWidth="1"/>
    <col min="9" max="10" width="12.6640625" bestFit="1" customWidth="1"/>
  </cols>
  <sheetData>
    <row r="2" spans="2:10" ht="16" thickBot="1" x14ac:dyDescent="0.4"/>
    <row r="3" spans="2:10" s="300" customFormat="1" ht="31.5" thickBot="1" x14ac:dyDescent="0.4">
      <c r="B3" s="301" t="s">
        <v>107</v>
      </c>
      <c r="C3" s="216" t="s">
        <v>108</v>
      </c>
      <c r="D3" s="216" t="s">
        <v>109</v>
      </c>
      <c r="E3" s="216" t="s">
        <v>110</v>
      </c>
      <c r="F3" s="216" t="s">
        <v>25</v>
      </c>
      <c r="G3" s="200" t="s">
        <v>111</v>
      </c>
    </row>
    <row r="4" spans="2:10" s="188" customFormat="1" ht="62" x14ac:dyDescent="0.35">
      <c r="B4" s="382">
        <v>0</v>
      </c>
      <c r="C4" s="383">
        <v>14</v>
      </c>
      <c r="D4" s="384" t="s">
        <v>143</v>
      </c>
      <c r="E4" s="384" t="s">
        <v>113</v>
      </c>
      <c r="F4" s="385">
        <f>SUMIF('Plan Fase 1'!B$165:B$192,'Gruppi Fase 1'!B4,'Plan Fase 1'!AB$165:AB$192)</f>
        <v>5548</v>
      </c>
      <c r="G4" s="386">
        <f>F4/'Plan Fase 1'!B$34</f>
        <v>3.1666666666666665</v>
      </c>
    </row>
    <row r="5" spans="2:10" s="188" customFormat="1" ht="62" x14ac:dyDescent="0.35">
      <c r="B5" s="377">
        <v>1</v>
      </c>
      <c r="C5" s="378">
        <v>4.9000000000000004</v>
      </c>
      <c r="D5" s="379" t="s">
        <v>145</v>
      </c>
      <c r="E5" s="379" t="s">
        <v>127</v>
      </c>
      <c r="F5" s="380">
        <f>SUMIF('Plan Fase 1'!B$165:B$192,'Gruppi Fase 1'!B5,'Plan Fase 1'!AB$165:AB$192)</f>
        <v>6438.6</v>
      </c>
      <c r="G5" s="381">
        <f>F5/'Plan Fase 1'!B$34</f>
        <v>3.6750000000000003</v>
      </c>
    </row>
    <row r="6" spans="2:10" s="188" customFormat="1" ht="62" x14ac:dyDescent="0.35">
      <c r="B6" s="452">
        <v>2</v>
      </c>
      <c r="C6" s="453">
        <v>4.55</v>
      </c>
      <c r="D6" s="454" t="s">
        <v>146</v>
      </c>
      <c r="E6" s="376" t="s">
        <v>147</v>
      </c>
      <c r="F6" s="455">
        <f>SUMIF('Plan Fase 1'!B$165:B$192,'Gruppi Fase 1'!B6,'Plan Fase 1'!AB$165:AB$192)</f>
        <v>5978.7</v>
      </c>
      <c r="G6" s="456">
        <f>F6/'Plan Fase 1'!B$34</f>
        <v>3.4125000000000001</v>
      </c>
    </row>
    <row r="7" spans="2:10" s="188" customFormat="1" ht="62.5" thickBot="1" x14ac:dyDescent="0.4">
      <c r="B7" s="457">
        <v>3</v>
      </c>
      <c r="C7" s="458">
        <v>4.55</v>
      </c>
      <c r="D7" s="459" t="s">
        <v>146</v>
      </c>
      <c r="E7" s="459" t="s">
        <v>148</v>
      </c>
      <c r="F7" s="460">
        <f>SUMIF('Plan Fase 1'!B$165:B$192,'Gruppi Fase 1'!B7,'Plan Fase 1'!AB$165:AB$192)</f>
        <v>5978.7000000000007</v>
      </c>
      <c r="G7" s="461">
        <f>F7/'Plan Fase 1'!B$34</f>
        <v>3.4125000000000005</v>
      </c>
    </row>
    <row r="8" spans="2:10" s="13" customFormat="1" ht="124.5" thickBot="1" x14ac:dyDescent="0.4">
      <c r="B8" s="301" t="s">
        <v>9</v>
      </c>
      <c r="C8" s="216">
        <v>14</v>
      </c>
      <c r="D8" s="302" t="s">
        <v>143</v>
      </c>
      <c r="E8" s="302" t="s">
        <v>149</v>
      </c>
      <c r="F8" s="183">
        <f>SUM(F4:F7)</f>
        <v>23944</v>
      </c>
      <c r="G8" s="303">
        <f>F8/'Plan Fase 1'!B$34</f>
        <v>13.666666666666666</v>
      </c>
      <c r="H8" s="334"/>
      <c r="J8" s="335"/>
    </row>
    <row r="9" spans="2:10" x14ac:dyDescent="0.35">
      <c r="H9" s="210"/>
      <c r="I9" s="335"/>
      <c r="J9" s="2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0E04-F40C-F44B-8032-7F7710711FC6}">
  <dimension ref="A2:AC58"/>
  <sheetViews>
    <sheetView zoomScale="60" zoomScaleNormal="60" workbookViewId="0">
      <selection activeCell="AG40" sqref="AG40"/>
    </sheetView>
  </sheetViews>
  <sheetFormatPr defaultColWidth="10.6640625" defaultRowHeight="15.5" x14ac:dyDescent="0.35"/>
  <cols>
    <col min="3" max="3" width="46.1640625" customWidth="1"/>
    <col min="4" max="4" width="5.6640625" customWidth="1"/>
    <col min="5" max="5" width="5" customWidth="1"/>
    <col min="6" max="6" width="4.83203125" customWidth="1"/>
    <col min="7" max="7" width="4.6640625" customWidth="1"/>
    <col min="8" max="8" width="5" customWidth="1"/>
    <col min="9" max="9" width="4.83203125" customWidth="1"/>
    <col min="10" max="10" width="5" customWidth="1"/>
    <col min="11" max="11" width="5.5" customWidth="1"/>
    <col min="12" max="12" width="5.1640625" customWidth="1"/>
    <col min="13" max="23" width="5" customWidth="1"/>
    <col min="24" max="24" width="11.33203125" style="96" customWidth="1"/>
    <col min="25" max="28" width="10.83203125" customWidth="1"/>
  </cols>
  <sheetData>
    <row r="2" spans="1:29" ht="16" thickBot="1" x14ac:dyDescent="0.4"/>
    <row r="3" spans="1:29" ht="16.5" thickTop="1" thickBot="1" x14ac:dyDescent="0.4">
      <c r="D3" s="474" t="s">
        <v>31</v>
      </c>
      <c r="E3" s="475"/>
      <c r="F3" s="475"/>
      <c r="G3" s="476"/>
      <c r="H3" s="475" t="s">
        <v>32</v>
      </c>
      <c r="I3" s="475"/>
      <c r="J3" s="475"/>
      <c r="K3" s="476"/>
      <c r="L3" s="474" t="s">
        <v>33</v>
      </c>
      <c r="M3" s="475"/>
      <c r="N3" s="475"/>
      <c r="O3" s="476"/>
      <c r="P3" s="474" t="s">
        <v>34</v>
      </c>
      <c r="Q3" s="475"/>
      <c r="R3" s="475"/>
      <c r="S3" s="476"/>
      <c r="T3" s="474" t="s">
        <v>35</v>
      </c>
      <c r="U3" s="475"/>
      <c r="V3" s="475"/>
      <c r="W3" s="476"/>
    </row>
    <row r="4" spans="1:29" ht="16.5" thickTop="1" thickBot="1" x14ac:dyDescent="0.4">
      <c r="C4" s="102" t="s">
        <v>43</v>
      </c>
      <c r="D4" s="472" t="s">
        <v>38</v>
      </c>
      <c r="E4" s="467"/>
      <c r="F4" s="467" t="s">
        <v>39</v>
      </c>
      <c r="G4" s="473"/>
      <c r="H4" s="472" t="s">
        <v>38</v>
      </c>
      <c r="I4" s="467"/>
      <c r="J4" s="467" t="s">
        <v>39</v>
      </c>
      <c r="K4" s="473"/>
      <c r="L4" s="472" t="s">
        <v>38</v>
      </c>
      <c r="M4" s="467"/>
      <c r="N4" s="467" t="s">
        <v>39</v>
      </c>
      <c r="O4" s="473"/>
      <c r="P4" s="472" t="s">
        <v>38</v>
      </c>
      <c r="Q4" s="467"/>
      <c r="R4" s="467" t="s">
        <v>39</v>
      </c>
      <c r="S4" s="473"/>
      <c r="T4" s="472" t="s">
        <v>38</v>
      </c>
      <c r="U4" s="467"/>
      <c r="V4" s="467" t="s">
        <v>39</v>
      </c>
      <c r="W4" s="473"/>
    </row>
    <row r="5" spans="1:29" ht="16.5" thickTop="1" thickBot="1" x14ac:dyDescent="0.4">
      <c r="C5" s="103" t="s">
        <v>41</v>
      </c>
      <c r="D5" s="108"/>
      <c r="E5" s="40"/>
      <c r="F5" s="39"/>
      <c r="G5" s="66"/>
      <c r="H5" s="108"/>
      <c r="I5" s="40"/>
      <c r="J5" s="39"/>
      <c r="K5" s="66"/>
      <c r="L5" s="108"/>
      <c r="M5" s="40"/>
      <c r="N5" s="39"/>
      <c r="O5" s="66"/>
      <c r="P5" s="108"/>
      <c r="Q5" s="40"/>
      <c r="R5" s="39"/>
      <c r="S5" s="66"/>
      <c r="T5" s="114"/>
      <c r="U5" s="40"/>
      <c r="V5" s="39"/>
      <c r="W5" s="40"/>
    </row>
    <row r="6" spans="1:29" ht="16.5" thickTop="1" thickBot="1" x14ac:dyDescent="0.4">
      <c r="C6" s="115" t="s">
        <v>36</v>
      </c>
      <c r="D6" s="116"/>
      <c r="E6" s="117"/>
      <c r="F6" s="118"/>
      <c r="G6" s="119"/>
      <c r="H6" s="116"/>
      <c r="I6" s="117"/>
      <c r="J6" s="118"/>
      <c r="K6" s="119"/>
      <c r="L6" s="116"/>
      <c r="M6" s="117"/>
      <c r="N6" s="118"/>
      <c r="O6" s="119"/>
      <c r="P6" s="116"/>
      <c r="Q6" s="117"/>
      <c r="R6" s="118"/>
      <c r="S6" s="119"/>
      <c r="T6" s="120"/>
      <c r="U6" s="117"/>
      <c r="V6" s="118"/>
      <c r="W6" s="117"/>
    </row>
    <row r="7" spans="1:29" ht="16.5" thickTop="1" thickBot="1" x14ac:dyDescent="0.4">
      <c r="C7" s="104" t="s">
        <v>37</v>
      </c>
      <c r="D7" s="109"/>
      <c r="E7" s="42"/>
      <c r="F7" s="41"/>
      <c r="G7" s="43"/>
      <c r="H7" s="109"/>
      <c r="I7" s="42"/>
      <c r="J7" s="41"/>
      <c r="K7" s="43"/>
      <c r="L7" s="110"/>
      <c r="M7" s="55"/>
      <c r="N7" s="54"/>
      <c r="O7" s="111"/>
      <c r="P7" s="110"/>
      <c r="Q7" s="55"/>
      <c r="R7" s="54"/>
      <c r="S7" s="111"/>
      <c r="T7" s="106"/>
      <c r="U7" s="55"/>
      <c r="V7" s="54"/>
      <c r="W7" s="55"/>
    </row>
    <row r="8" spans="1:29" ht="16.5" thickTop="1" thickBot="1" x14ac:dyDescent="0.4">
      <c r="C8" s="105" t="s">
        <v>40</v>
      </c>
      <c r="D8" s="112"/>
      <c r="E8" s="61"/>
      <c r="F8" s="60"/>
      <c r="G8" s="113"/>
      <c r="H8" s="112"/>
      <c r="I8" s="61"/>
      <c r="J8" s="60"/>
      <c r="K8" s="113"/>
      <c r="L8" s="112"/>
      <c r="M8" s="61"/>
      <c r="N8" s="60"/>
      <c r="O8" s="113"/>
      <c r="P8" s="112"/>
      <c r="Q8" s="61"/>
      <c r="R8" s="60"/>
      <c r="S8" s="113"/>
      <c r="T8" s="107"/>
      <c r="U8" s="61"/>
      <c r="V8" s="60"/>
      <c r="W8" s="61"/>
    </row>
    <row r="9" spans="1:29" ht="16" thickBot="1" x14ac:dyDescent="0.4">
      <c r="C9" s="121" t="s">
        <v>42</v>
      </c>
      <c r="D9" s="122"/>
      <c r="E9" s="123"/>
      <c r="F9" s="124"/>
      <c r="G9" s="125"/>
      <c r="H9" s="122"/>
      <c r="I9" s="123"/>
      <c r="J9" s="124"/>
      <c r="K9" s="125"/>
      <c r="L9" s="122"/>
      <c r="M9" s="123"/>
      <c r="N9" s="124"/>
      <c r="O9" s="125"/>
      <c r="P9" s="122"/>
      <c r="Q9" s="123"/>
      <c r="R9" s="124"/>
      <c r="S9" s="125"/>
      <c r="T9" s="126"/>
      <c r="U9" s="123"/>
      <c r="V9" s="124"/>
      <c r="W9" s="123"/>
    </row>
    <row r="11" spans="1:29" x14ac:dyDescent="0.35">
      <c r="A11" s="1" t="s">
        <v>26</v>
      </c>
      <c r="B11" s="1">
        <f>'Plan Fase 1'!B34</f>
        <v>1752</v>
      </c>
    </row>
    <row r="12" spans="1:29" x14ac:dyDescent="0.35">
      <c r="A12" s="1" t="s">
        <v>45</v>
      </c>
      <c r="B12" s="1">
        <f>B11/4</f>
        <v>438</v>
      </c>
    </row>
    <row r="13" spans="1:29" x14ac:dyDescent="0.35">
      <c r="A13" s="1"/>
      <c r="B13" s="1"/>
    </row>
    <row r="14" spans="1:29" ht="16" thickBot="1" x14ac:dyDescent="0.4"/>
    <row r="15" spans="1:29" ht="16.5" thickTop="1" thickBot="1" x14ac:dyDescent="0.4">
      <c r="D15" s="474" t="s">
        <v>31</v>
      </c>
      <c r="E15" s="475"/>
      <c r="F15" s="475"/>
      <c r="G15" s="476"/>
      <c r="H15" s="475" t="s">
        <v>32</v>
      </c>
      <c r="I15" s="475"/>
      <c r="J15" s="475"/>
      <c r="K15" s="476"/>
      <c r="L15" s="474" t="s">
        <v>33</v>
      </c>
      <c r="M15" s="475"/>
      <c r="N15" s="475"/>
      <c r="O15" s="476"/>
      <c r="P15" s="474" t="s">
        <v>34</v>
      </c>
      <c r="Q15" s="475"/>
      <c r="R15" s="475"/>
      <c r="S15" s="476"/>
      <c r="T15" s="474" t="s">
        <v>35</v>
      </c>
      <c r="U15" s="475"/>
      <c r="V15" s="475"/>
      <c r="W15" s="475"/>
      <c r="X15" s="469" t="s">
        <v>25</v>
      </c>
      <c r="Y15" s="470"/>
      <c r="Z15" s="470"/>
      <c r="AA15" s="470"/>
      <c r="AB15" s="470"/>
      <c r="AC15" s="471"/>
    </row>
    <row r="16" spans="1:29" ht="16.5" thickTop="1" thickBot="1" x14ac:dyDescent="0.4">
      <c r="C16" s="127" t="s">
        <v>44</v>
      </c>
      <c r="D16" s="472" t="s">
        <v>38</v>
      </c>
      <c r="E16" s="467"/>
      <c r="F16" s="467" t="s">
        <v>39</v>
      </c>
      <c r="G16" s="473"/>
      <c r="H16" s="472" t="s">
        <v>38</v>
      </c>
      <c r="I16" s="467"/>
      <c r="J16" s="467" t="s">
        <v>39</v>
      </c>
      <c r="K16" s="473"/>
      <c r="L16" s="472" t="s">
        <v>38</v>
      </c>
      <c r="M16" s="467"/>
      <c r="N16" s="467" t="s">
        <v>39</v>
      </c>
      <c r="O16" s="473"/>
      <c r="P16" s="472" t="s">
        <v>38</v>
      </c>
      <c r="Q16" s="467"/>
      <c r="R16" s="467" t="s">
        <v>39</v>
      </c>
      <c r="S16" s="473"/>
      <c r="T16" s="472" t="s">
        <v>38</v>
      </c>
      <c r="U16" s="467"/>
      <c r="V16" s="467" t="s">
        <v>39</v>
      </c>
      <c r="W16" s="468"/>
      <c r="X16" s="310" t="s">
        <v>31</v>
      </c>
      <c r="Y16" s="311" t="s">
        <v>32</v>
      </c>
      <c r="Z16" s="311" t="s">
        <v>33</v>
      </c>
      <c r="AA16" s="311" t="s">
        <v>34</v>
      </c>
      <c r="AB16" s="312" t="s">
        <v>35</v>
      </c>
      <c r="AC16" s="160" t="s">
        <v>9</v>
      </c>
    </row>
    <row r="17" spans="3:29" ht="16.5" thickTop="1" thickBot="1" x14ac:dyDescent="0.4">
      <c r="C17" s="103" t="s">
        <v>41</v>
      </c>
      <c r="D17" s="128">
        <v>0.25</v>
      </c>
      <c r="E17" s="82">
        <v>0.25</v>
      </c>
      <c r="F17" s="81">
        <v>0.25</v>
      </c>
      <c r="G17" s="90">
        <v>0.25</v>
      </c>
      <c r="H17" s="128">
        <v>0.25</v>
      </c>
      <c r="I17" s="82">
        <v>0.25</v>
      </c>
      <c r="J17" s="81">
        <v>0.25</v>
      </c>
      <c r="K17" s="90">
        <v>0.25</v>
      </c>
      <c r="L17" s="128">
        <v>0.2</v>
      </c>
      <c r="M17" s="82">
        <v>0.2</v>
      </c>
      <c r="N17" s="81">
        <v>0.2</v>
      </c>
      <c r="O17" s="90">
        <v>0.2</v>
      </c>
      <c r="P17" s="128">
        <v>0.2</v>
      </c>
      <c r="Q17" s="82">
        <v>0.2</v>
      </c>
      <c r="R17" s="81">
        <v>0.2</v>
      </c>
      <c r="S17" s="90">
        <v>0.2</v>
      </c>
      <c r="T17" s="129">
        <v>0.2</v>
      </c>
      <c r="U17" s="82">
        <v>0.2</v>
      </c>
      <c r="V17" s="81">
        <v>0.2</v>
      </c>
      <c r="W17" s="148">
        <v>0.2</v>
      </c>
      <c r="X17" s="316">
        <f>SUM(D17:G17)*$B$12</f>
        <v>438</v>
      </c>
      <c r="Y17" s="317">
        <f>SUM(H17:K17)*$B$12</f>
        <v>438</v>
      </c>
      <c r="Z17" s="317">
        <f>SUM(L17:O17)*$B$12</f>
        <v>350.40000000000003</v>
      </c>
      <c r="AA17" s="317">
        <f>SUM(P17:S17)*$B$12</f>
        <v>350.40000000000003</v>
      </c>
      <c r="AB17" s="318">
        <f>SUM(T17:W17)*$B$12</f>
        <v>350.40000000000003</v>
      </c>
      <c r="AC17" s="304">
        <f t="shared" ref="AC17:AC22" si="0">SUM(X17:AB17)</f>
        <v>1927.2000000000003</v>
      </c>
    </row>
    <row r="18" spans="3:29" ht="16.5" thickTop="1" thickBot="1" x14ac:dyDescent="0.4">
      <c r="C18" s="115" t="s">
        <v>36</v>
      </c>
      <c r="D18" s="130">
        <v>0.1</v>
      </c>
      <c r="E18" s="131">
        <v>0.1</v>
      </c>
      <c r="F18" s="132">
        <v>0.1</v>
      </c>
      <c r="G18" s="133">
        <v>0.1</v>
      </c>
      <c r="H18" s="130">
        <v>0.1</v>
      </c>
      <c r="I18" s="131">
        <v>0.1</v>
      </c>
      <c r="J18" s="132">
        <v>0.1</v>
      </c>
      <c r="K18" s="133">
        <v>0.1</v>
      </c>
      <c r="L18" s="130">
        <v>0.05</v>
      </c>
      <c r="M18" s="131">
        <v>0.05</v>
      </c>
      <c r="N18" s="132">
        <v>0.05</v>
      </c>
      <c r="O18" s="133">
        <v>0.05</v>
      </c>
      <c r="P18" s="130">
        <v>0.05</v>
      </c>
      <c r="Q18" s="131">
        <v>0.05</v>
      </c>
      <c r="R18" s="132">
        <v>0.05</v>
      </c>
      <c r="S18" s="133">
        <v>0.05</v>
      </c>
      <c r="T18" s="134">
        <v>0.05</v>
      </c>
      <c r="U18" s="131">
        <v>0.05</v>
      </c>
      <c r="V18" s="132">
        <v>0.05</v>
      </c>
      <c r="W18" s="149">
        <v>0.05</v>
      </c>
      <c r="X18" s="316">
        <f>SUM(D18:G18)*$B$12</f>
        <v>175.20000000000002</v>
      </c>
      <c r="Y18" s="317">
        <f>SUM(H18:K18)*$B$12</f>
        <v>175.20000000000002</v>
      </c>
      <c r="Z18" s="317">
        <f>SUM(L18:O18)*$B$12</f>
        <v>87.600000000000009</v>
      </c>
      <c r="AA18" s="317">
        <f>SUM(P18:S18)*$B$12</f>
        <v>87.600000000000009</v>
      </c>
      <c r="AB18" s="318">
        <f>SUM(T18:W18)*$B$12</f>
        <v>87.600000000000009</v>
      </c>
      <c r="AC18" s="304">
        <f t="shared" si="0"/>
        <v>613.20000000000005</v>
      </c>
    </row>
    <row r="19" spans="3:29" ht="16.5" thickTop="1" thickBot="1" x14ac:dyDescent="0.4">
      <c r="C19" s="104" t="s">
        <v>37</v>
      </c>
      <c r="D19" s="135"/>
      <c r="E19" s="84"/>
      <c r="F19" s="83"/>
      <c r="G19" s="85"/>
      <c r="H19" s="135"/>
      <c r="I19" s="84"/>
      <c r="J19" s="83"/>
      <c r="K19" s="85"/>
      <c r="L19" s="136">
        <v>0.15</v>
      </c>
      <c r="M19" s="87">
        <v>0.15</v>
      </c>
      <c r="N19" s="86">
        <v>0.15</v>
      </c>
      <c r="O19" s="137">
        <v>0.15</v>
      </c>
      <c r="P19" s="136">
        <v>0.15</v>
      </c>
      <c r="Q19" s="87">
        <v>0.15</v>
      </c>
      <c r="R19" s="86">
        <v>0.15</v>
      </c>
      <c r="S19" s="137">
        <v>0.15</v>
      </c>
      <c r="T19" s="138">
        <v>0.15</v>
      </c>
      <c r="U19" s="87">
        <v>0.15</v>
      </c>
      <c r="V19" s="86">
        <v>0.15</v>
      </c>
      <c r="W19" s="150">
        <v>0.15</v>
      </c>
      <c r="X19" s="316">
        <f>SUM(D19:G19)*$B$12</f>
        <v>0</v>
      </c>
      <c r="Y19" s="317">
        <f>SUM(H19:K19)*$B$12</f>
        <v>0</v>
      </c>
      <c r="Z19" s="317">
        <f>SUM(L19:O19)*$B$12</f>
        <v>262.8</v>
      </c>
      <c r="AA19" s="317">
        <f>SUM(P19:S19)*$B$12</f>
        <v>262.8</v>
      </c>
      <c r="AB19" s="318">
        <f>SUM(T19:W19)*$B$12</f>
        <v>262.8</v>
      </c>
      <c r="AC19" s="304">
        <f t="shared" si="0"/>
        <v>788.40000000000009</v>
      </c>
    </row>
    <row r="20" spans="3:29" ht="16.5" thickTop="1" thickBot="1" x14ac:dyDescent="0.4">
      <c r="C20" s="105" t="s">
        <v>40</v>
      </c>
      <c r="D20" s="139">
        <v>0.1</v>
      </c>
      <c r="E20" s="89">
        <v>0.1</v>
      </c>
      <c r="F20" s="88">
        <v>0.1</v>
      </c>
      <c r="G20" s="140">
        <v>0.1</v>
      </c>
      <c r="H20" s="139">
        <v>0.1</v>
      </c>
      <c r="I20" s="89">
        <v>0.1</v>
      </c>
      <c r="J20" s="88">
        <v>0.1</v>
      </c>
      <c r="K20" s="140">
        <v>0.1</v>
      </c>
      <c r="L20" s="139">
        <v>0.05</v>
      </c>
      <c r="M20" s="89">
        <v>0.05</v>
      </c>
      <c r="N20" s="88">
        <v>0.05</v>
      </c>
      <c r="O20" s="140">
        <v>0.05</v>
      </c>
      <c r="P20" s="139">
        <v>0.05</v>
      </c>
      <c r="Q20" s="89">
        <v>0.05</v>
      </c>
      <c r="R20" s="88">
        <v>0.05</v>
      </c>
      <c r="S20" s="140">
        <v>0.05</v>
      </c>
      <c r="T20" s="141">
        <v>0.05</v>
      </c>
      <c r="U20" s="89">
        <v>0.05</v>
      </c>
      <c r="V20" s="88">
        <v>0.05</v>
      </c>
      <c r="W20" s="151">
        <v>0.05</v>
      </c>
      <c r="X20" s="316">
        <f>SUM(D20:G20)*$B$12</f>
        <v>175.20000000000002</v>
      </c>
      <c r="Y20" s="317">
        <f>SUM(H20:K20)*$B$12</f>
        <v>175.20000000000002</v>
      </c>
      <c r="Z20" s="317">
        <f>SUM(L20:O20)*$B$12</f>
        <v>87.600000000000009</v>
      </c>
      <c r="AA20" s="317">
        <f>SUM(P20:S20)*$B$12</f>
        <v>87.600000000000009</v>
      </c>
      <c r="AB20" s="318">
        <f>SUM(T20:W20)*$B$12</f>
        <v>87.600000000000009</v>
      </c>
      <c r="AC20" s="304">
        <f t="shared" si="0"/>
        <v>613.20000000000005</v>
      </c>
    </row>
    <row r="21" spans="3:29" ht="16.5" thickTop="1" thickBot="1" x14ac:dyDescent="0.4">
      <c r="C21" s="121" t="s">
        <v>42</v>
      </c>
      <c r="D21" s="142">
        <v>0.05</v>
      </c>
      <c r="E21" s="143">
        <v>0.05</v>
      </c>
      <c r="F21" s="144">
        <v>0.05</v>
      </c>
      <c r="G21" s="145">
        <v>0.05</v>
      </c>
      <c r="H21" s="142">
        <v>0.05</v>
      </c>
      <c r="I21" s="143">
        <v>0.05</v>
      </c>
      <c r="J21" s="144">
        <v>0.05</v>
      </c>
      <c r="K21" s="145">
        <v>0.05</v>
      </c>
      <c r="L21" s="142">
        <v>0.05</v>
      </c>
      <c r="M21" s="143">
        <v>0.05</v>
      </c>
      <c r="N21" s="144">
        <v>0.05</v>
      </c>
      <c r="O21" s="145">
        <v>0.05</v>
      </c>
      <c r="P21" s="142">
        <v>0.05</v>
      </c>
      <c r="Q21" s="143">
        <v>0.05</v>
      </c>
      <c r="R21" s="144">
        <v>0.05</v>
      </c>
      <c r="S21" s="145">
        <v>0.05</v>
      </c>
      <c r="T21" s="146">
        <v>0.05</v>
      </c>
      <c r="U21" s="143">
        <v>0.05</v>
      </c>
      <c r="V21" s="144">
        <v>0.05</v>
      </c>
      <c r="W21" s="152">
        <v>0.05</v>
      </c>
      <c r="X21" s="316">
        <f>SUM(D21:G21)*$B$12</f>
        <v>87.600000000000009</v>
      </c>
      <c r="Y21" s="317">
        <f>SUM(H21:K21)*$B$12</f>
        <v>87.600000000000009</v>
      </c>
      <c r="Z21" s="317">
        <f>SUM(L21:O21)*$B$12</f>
        <v>87.600000000000009</v>
      </c>
      <c r="AA21" s="317">
        <f>SUM(P21:S21)*$B$12</f>
        <v>87.600000000000009</v>
      </c>
      <c r="AB21" s="318">
        <f>SUM(T21:W21)*$B$12</f>
        <v>87.600000000000009</v>
      </c>
      <c r="AC21" s="304">
        <f t="shared" si="0"/>
        <v>438.00000000000006</v>
      </c>
    </row>
    <row r="22" spans="3:29" ht="16.5" thickTop="1" thickBot="1" x14ac:dyDescent="0.4">
      <c r="C22" s="147" t="s">
        <v>9</v>
      </c>
      <c r="D22" s="153">
        <f>SUM(D17:D21)</f>
        <v>0.49999999999999994</v>
      </c>
      <c r="E22" s="154">
        <f t="shared" ref="E22:W22" si="1">SUM(E17:E21)</f>
        <v>0.49999999999999994</v>
      </c>
      <c r="F22" s="155">
        <f t="shared" si="1"/>
        <v>0.49999999999999994</v>
      </c>
      <c r="G22" s="156">
        <f t="shared" si="1"/>
        <v>0.49999999999999994</v>
      </c>
      <c r="H22" s="153">
        <f t="shared" si="1"/>
        <v>0.49999999999999994</v>
      </c>
      <c r="I22" s="154">
        <f t="shared" si="1"/>
        <v>0.49999999999999994</v>
      </c>
      <c r="J22" s="155">
        <f t="shared" si="1"/>
        <v>0.49999999999999994</v>
      </c>
      <c r="K22" s="156">
        <f t="shared" si="1"/>
        <v>0.49999999999999994</v>
      </c>
      <c r="L22" s="153">
        <f t="shared" si="1"/>
        <v>0.5</v>
      </c>
      <c r="M22" s="154">
        <f t="shared" si="1"/>
        <v>0.5</v>
      </c>
      <c r="N22" s="155">
        <f t="shared" si="1"/>
        <v>0.5</v>
      </c>
      <c r="O22" s="156">
        <f t="shared" si="1"/>
        <v>0.5</v>
      </c>
      <c r="P22" s="153">
        <f t="shared" si="1"/>
        <v>0.5</v>
      </c>
      <c r="Q22" s="154">
        <f t="shared" si="1"/>
        <v>0.5</v>
      </c>
      <c r="R22" s="155">
        <f t="shared" si="1"/>
        <v>0.5</v>
      </c>
      <c r="S22" s="156">
        <f t="shared" si="1"/>
        <v>0.5</v>
      </c>
      <c r="T22" s="157">
        <f t="shared" si="1"/>
        <v>0.5</v>
      </c>
      <c r="U22" s="154">
        <f t="shared" si="1"/>
        <v>0.5</v>
      </c>
      <c r="V22" s="155">
        <f t="shared" si="1"/>
        <v>0.5</v>
      </c>
      <c r="W22" s="158">
        <f t="shared" si="1"/>
        <v>0.5</v>
      </c>
      <c r="X22" s="313">
        <f>SUM(X17:X21)</f>
        <v>876.00000000000011</v>
      </c>
      <c r="Y22" s="314">
        <f>SUM(Y17:Y21)</f>
        <v>876.00000000000011</v>
      </c>
      <c r="Z22" s="314">
        <f>SUM(Z17:Z21)</f>
        <v>876.00000000000011</v>
      </c>
      <c r="AA22" s="314">
        <f>SUM(AA17:AA21)</f>
        <v>876.00000000000011</v>
      </c>
      <c r="AB22" s="315">
        <f>SUM(AB17:AB21)</f>
        <v>876.00000000000011</v>
      </c>
      <c r="AC22" s="161">
        <f t="shared" si="0"/>
        <v>4380.0000000000009</v>
      </c>
    </row>
    <row r="23" spans="3:29" ht="16" thickBot="1" x14ac:dyDescent="0.4"/>
    <row r="24" spans="3:29" ht="16.5" thickTop="1" thickBot="1" x14ac:dyDescent="0.4">
      <c r="D24" s="474" t="s">
        <v>31</v>
      </c>
      <c r="E24" s="475"/>
      <c r="F24" s="475"/>
      <c r="G24" s="476"/>
      <c r="H24" s="475" t="s">
        <v>32</v>
      </c>
      <c r="I24" s="475"/>
      <c r="J24" s="475"/>
      <c r="K24" s="476"/>
      <c r="L24" s="474" t="s">
        <v>33</v>
      </c>
      <c r="M24" s="475"/>
      <c r="N24" s="475"/>
      <c r="O24" s="476"/>
      <c r="P24" s="474" t="s">
        <v>34</v>
      </c>
      <c r="Q24" s="475"/>
      <c r="R24" s="475"/>
      <c r="S24" s="476"/>
      <c r="T24" s="474" t="s">
        <v>35</v>
      </c>
      <c r="U24" s="475"/>
      <c r="V24" s="475"/>
      <c r="W24" s="475"/>
      <c r="X24" s="469" t="s">
        <v>25</v>
      </c>
      <c r="Y24" s="470"/>
      <c r="Z24" s="470"/>
      <c r="AA24" s="470"/>
      <c r="AB24" s="470"/>
      <c r="AC24" s="471"/>
    </row>
    <row r="25" spans="3:29" ht="16.5" thickTop="1" thickBot="1" x14ac:dyDescent="0.4">
      <c r="C25" s="127" t="s">
        <v>29</v>
      </c>
      <c r="D25" s="472" t="s">
        <v>38</v>
      </c>
      <c r="E25" s="467"/>
      <c r="F25" s="467" t="s">
        <v>39</v>
      </c>
      <c r="G25" s="473"/>
      <c r="H25" s="472" t="s">
        <v>38</v>
      </c>
      <c r="I25" s="467"/>
      <c r="J25" s="467" t="s">
        <v>39</v>
      </c>
      <c r="K25" s="473"/>
      <c r="L25" s="472" t="s">
        <v>38</v>
      </c>
      <c r="M25" s="467"/>
      <c r="N25" s="467" t="s">
        <v>39</v>
      </c>
      <c r="O25" s="473"/>
      <c r="P25" s="472" t="s">
        <v>38</v>
      </c>
      <c r="Q25" s="467"/>
      <c r="R25" s="467" t="s">
        <v>39</v>
      </c>
      <c r="S25" s="473"/>
      <c r="T25" s="472" t="s">
        <v>38</v>
      </c>
      <c r="U25" s="467"/>
      <c r="V25" s="467" t="s">
        <v>39</v>
      </c>
      <c r="W25" s="468"/>
      <c r="X25" s="310" t="s">
        <v>31</v>
      </c>
      <c r="Y25" s="311" t="s">
        <v>32</v>
      </c>
      <c r="Z25" s="311" t="s">
        <v>33</v>
      </c>
      <c r="AA25" s="311" t="s">
        <v>34</v>
      </c>
      <c r="AB25" s="312" t="s">
        <v>35</v>
      </c>
      <c r="AC25" s="160" t="s">
        <v>9</v>
      </c>
    </row>
    <row r="26" spans="3:29" ht="16.5" thickTop="1" thickBot="1" x14ac:dyDescent="0.4">
      <c r="C26" s="103" t="s">
        <v>41</v>
      </c>
      <c r="D26" s="128">
        <v>0.15</v>
      </c>
      <c r="E26" s="82">
        <v>0.15</v>
      </c>
      <c r="F26" s="81">
        <v>0.15</v>
      </c>
      <c r="G26" s="90">
        <v>0.15</v>
      </c>
      <c r="H26" s="128">
        <v>0.15</v>
      </c>
      <c r="I26" s="82">
        <v>0.15</v>
      </c>
      <c r="J26" s="81">
        <v>0.15</v>
      </c>
      <c r="K26" s="90">
        <v>0.15</v>
      </c>
      <c r="L26" s="128">
        <v>0.1</v>
      </c>
      <c r="M26" s="82">
        <v>0.1</v>
      </c>
      <c r="N26" s="81">
        <v>0.1</v>
      </c>
      <c r="O26" s="90">
        <v>0.1</v>
      </c>
      <c r="P26" s="128">
        <v>0.1</v>
      </c>
      <c r="Q26" s="82">
        <v>0.1</v>
      </c>
      <c r="R26" s="81">
        <v>0.1</v>
      </c>
      <c r="S26" s="90">
        <v>0.1</v>
      </c>
      <c r="T26" s="129">
        <v>0.1</v>
      </c>
      <c r="U26" s="82">
        <v>0.1</v>
      </c>
      <c r="V26" s="81">
        <v>0.1</v>
      </c>
      <c r="W26" s="148">
        <v>0.1</v>
      </c>
      <c r="X26" s="316">
        <f>SUM(D26:G26)*$B$12</f>
        <v>262.8</v>
      </c>
      <c r="Y26" s="317">
        <f>SUM(H26:K26)*$B$12</f>
        <v>262.8</v>
      </c>
      <c r="Z26" s="317">
        <f>SUM(L26:O26)*$B$12</f>
        <v>175.20000000000002</v>
      </c>
      <c r="AA26" s="317">
        <f>SUM(P26:S26)*$B$12</f>
        <v>175.20000000000002</v>
      </c>
      <c r="AB26" s="318">
        <f>SUM(T26:W26)*$B$12</f>
        <v>175.20000000000002</v>
      </c>
      <c r="AC26" s="307">
        <f t="shared" ref="AC26:AC31" si="2">SUM(X26:AB26)</f>
        <v>1051.2</v>
      </c>
    </row>
    <row r="27" spans="3:29" ht="16.5" thickTop="1" thickBot="1" x14ac:dyDescent="0.4">
      <c r="C27" s="115" t="s">
        <v>36</v>
      </c>
      <c r="D27" s="130">
        <v>0.1</v>
      </c>
      <c r="E27" s="131">
        <v>0.1</v>
      </c>
      <c r="F27" s="132">
        <v>0.1</v>
      </c>
      <c r="G27" s="133">
        <v>0.1</v>
      </c>
      <c r="H27" s="130">
        <v>0.1</v>
      </c>
      <c r="I27" s="131">
        <v>0.1</v>
      </c>
      <c r="J27" s="132">
        <v>0.1</v>
      </c>
      <c r="K27" s="133">
        <v>0.1</v>
      </c>
      <c r="L27" s="130">
        <v>0.05</v>
      </c>
      <c r="M27" s="131">
        <v>0.05</v>
      </c>
      <c r="N27" s="132">
        <v>0.05</v>
      </c>
      <c r="O27" s="133">
        <v>0.05</v>
      </c>
      <c r="P27" s="130">
        <v>0.05</v>
      </c>
      <c r="Q27" s="131">
        <v>0.05</v>
      </c>
      <c r="R27" s="132">
        <v>0.05</v>
      </c>
      <c r="S27" s="133">
        <v>0.05</v>
      </c>
      <c r="T27" s="134">
        <v>0.05</v>
      </c>
      <c r="U27" s="131">
        <v>0.05</v>
      </c>
      <c r="V27" s="132">
        <v>0.05</v>
      </c>
      <c r="W27" s="149">
        <v>0.05</v>
      </c>
      <c r="X27" s="316">
        <f>SUM(D27:G27)*$B$12</f>
        <v>175.20000000000002</v>
      </c>
      <c r="Y27" s="317">
        <f>SUM(H27:K27)*$B$12</f>
        <v>175.20000000000002</v>
      </c>
      <c r="Z27" s="317">
        <f>SUM(L27:O27)*$B$12</f>
        <v>87.600000000000009</v>
      </c>
      <c r="AA27" s="317">
        <f>SUM(P27:S27)*$B$12</f>
        <v>87.600000000000009</v>
      </c>
      <c r="AB27" s="318">
        <f>SUM(T27:W27)*$B$12</f>
        <v>87.600000000000009</v>
      </c>
      <c r="AC27" s="308">
        <f t="shared" si="2"/>
        <v>613.20000000000005</v>
      </c>
    </row>
    <row r="28" spans="3:29" ht="16.5" thickTop="1" thickBot="1" x14ac:dyDescent="0.4">
      <c r="C28" s="104" t="s">
        <v>37</v>
      </c>
      <c r="D28" s="135"/>
      <c r="E28" s="84"/>
      <c r="F28" s="83"/>
      <c r="G28" s="85"/>
      <c r="H28" s="135"/>
      <c r="I28" s="84"/>
      <c r="J28" s="83"/>
      <c r="K28" s="85"/>
      <c r="L28" s="136">
        <v>0.2</v>
      </c>
      <c r="M28" s="87">
        <v>0.2</v>
      </c>
      <c r="N28" s="86">
        <v>0.2</v>
      </c>
      <c r="O28" s="137">
        <v>0.2</v>
      </c>
      <c r="P28" s="136">
        <v>0.2</v>
      </c>
      <c r="Q28" s="87">
        <v>0.2</v>
      </c>
      <c r="R28" s="86">
        <v>0.2</v>
      </c>
      <c r="S28" s="137">
        <v>0.2</v>
      </c>
      <c r="T28" s="138">
        <v>0.2</v>
      </c>
      <c r="U28" s="87">
        <v>0.2</v>
      </c>
      <c r="V28" s="86">
        <v>0.2</v>
      </c>
      <c r="W28" s="150">
        <v>0.2</v>
      </c>
      <c r="X28" s="316">
        <f>SUM(D28:G28)*$B$12</f>
        <v>0</v>
      </c>
      <c r="Y28" s="317">
        <f>SUM(H28:K28)*$B$12</f>
        <v>0</v>
      </c>
      <c r="Z28" s="317">
        <f>SUM(L28:O28)*$B$12</f>
        <v>350.40000000000003</v>
      </c>
      <c r="AA28" s="317">
        <f>SUM(P28:S28)*$B$12</f>
        <v>350.40000000000003</v>
      </c>
      <c r="AB28" s="318">
        <f>SUM(T28:W28)*$B$12</f>
        <v>350.40000000000003</v>
      </c>
      <c r="AC28" s="308">
        <f t="shared" si="2"/>
        <v>1051.2</v>
      </c>
    </row>
    <row r="29" spans="3:29" ht="16.5" thickTop="1" thickBot="1" x14ac:dyDescent="0.4">
      <c r="C29" s="105" t="s">
        <v>40</v>
      </c>
      <c r="D29" s="139">
        <v>0.15</v>
      </c>
      <c r="E29" s="89">
        <v>0.15</v>
      </c>
      <c r="F29" s="88">
        <v>0.15</v>
      </c>
      <c r="G29" s="140">
        <v>0.15</v>
      </c>
      <c r="H29" s="139">
        <v>0.15</v>
      </c>
      <c r="I29" s="89">
        <v>0.15</v>
      </c>
      <c r="J29" s="88">
        <v>0.15</v>
      </c>
      <c r="K29" s="140">
        <v>0.15</v>
      </c>
      <c r="L29" s="139">
        <v>0.05</v>
      </c>
      <c r="M29" s="89">
        <v>0.05</v>
      </c>
      <c r="N29" s="88">
        <v>0.05</v>
      </c>
      <c r="O29" s="140">
        <v>0.05</v>
      </c>
      <c r="P29" s="139">
        <v>0.05</v>
      </c>
      <c r="Q29" s="89">
        <v>0.05</v>
      </c>
      <c r="R29" s="88">
        <v>0.05</v>
      </c>
      <c r="S29" s="140">
        <v>0.05</v>
      </c>
      <c r="T29" s="141">
        <v>0.05</v>
      </c>
      <c r="U29" s="89">
        <v>0.05</v>
      </c>
      <c r="V29" s="88">
        <v>0.05</v>
      </c>
      <c r="W29" s="151">
        <v>0.05</v>
      </c>
      <c r="X29" s="316">
        <f>SUM(D29:G29)*$B$12</f>
        <v>262.8</v>
      </c>
      <c r="Y29" s="317">
        <f>SUM(H29:K29)*$B$12</f>
        <v>262.8</v>
      </c>
      <c r="Z29" s="317">
        <f>SUM(L29:O29)*$B$12</f>
        <v>87.600000000000009</v>
      </c>
      <c r="AA29" s="317">
        <f>SUM(P29:S29)*$B$12</f>
        <v>87.600000000000009</v>
      </c>
      <c r="AB29" s="318">
        <f>SUM(T29:W29)*$B$12</f>
        <v>87.600000000000009</v>
      </c>
      <c r="AC29" s="308">
        <f t="shared" si="2"/>
        <v>788.40000000000009</v>
      </c>
    </row>
    <row r="30" spans="3:29" ht="16.5" thickTop="1" thickBot="1" x14ac:dyDescent="0.4">
      <c r="C30" s="121" t="s">
        <v>42</v>
      </c>
      <c r="D30" s="142">
        <v>0.1</v>
      </c>
      <c r="E30" s="143">
        <v>0.1</v>
      </c>
      <c r="F30" s="144">
        <v>0.1</v>
      </c>
      <c r="G30" s="145">
        <v>0.1</v>
      </c>
      <c r="H30" s="142">
        <v>0.1</v>
      </c>
      <c r="I30" s="143">
        <v>0.1</v>
      </c>
      <c r="J30" s="144">
        <v>0.1</v>
      </c>
      <c r="K30" s="145">
        <v>0.1</v>
      </c>
      <c r="L30" s="142">
        <v>0.1</v>
      </c>
      <c r="M30" s="143">
        <v>0.1</v>
      </c>
      <c r="N30" s="144">
        <v>0.1</v>
      </c>
      <c r="O30" s="145">
        <v>0.1</v>
      </c>
      <c r="P30" s="142">
        <v>0.1</v>
      </c>
      <c r="Q30" s="143">
        <v>0.1</v>
      </c>
      <c r="R30" s="144">
        <v>0.1</v>
      </c>
      <c r="S30" s="145">
        <v>0.1</v>
      </c>
      <c r="T30" s="146">
        <v>0.1</v>
      </c>
      <c r="U30" s="143">
        <v>0.1</v>
      </c>
      <c r="V30" s="144">
        <v>0.1</v>
      </c>
      <c r="W30" s="152">
        <v>0.1</v>
      </c>
      <c r="X30" s="316">
        <f>SUM(D30:G30)*$B$12</f>
        <v>175.20000000000002</v>
      </c>
      <c r="Y30" s="317">
        <f>SUM(H30:K30)*$B$12</f>
        <v>175.20000000000002</v>
      </c>
      <c r="Z30" s="317">
        <f>SUM(L30:O30)*$B$12</f>
        <v>175.20000000000002</v>
      </c>
      <c r="AA30" s="317">
        <f>SUM(P30:S30)*$B$12</f>
        <v>175.20000000000002</v>
      </c>
      <c r="AB30" s="318">
        <f>SUM(T30:W30)*$B$12</f>
        <v>175.20000000000002</v>
      </c>
      <c r="AC30" s="309">
        <f t="shared" si="2"/>
        <v>876.00000000000011</v>
      </c>
    </row>
    <row r="31" spans="3:29" ht="16.5" thickTop="1" thickBot="1" x14ac:dyDescent="0.4">
      <c r="C31" s="147" t="s">
        <v>9</v>
      </c>
      <c r="D31" s="153">
        <f t="shared" ref="D31:AB31" si="3">SUM(D26:D30)</f>
        <v>0.5</v>
      </c>
      <c r="E31" s="154">
        <f t="shared" si="3"/>
        <v>0.5</v>
      </c>
      <c r="F31" s="155">
        <f t="shared" si="3"/>
        <v>0.5</v>
      </c>
      <c r="G31" s="156">
        <f t="shared" si="3"/>
        <v>0.5</v>
      </c>
      <c r="H31" s="153">
        <f t="shared" si="3"/>
        <v>0.5</v>
      </c>
      <c r="I31" s="154">
        <f t="shared" si="3"/>
        <v>0.5</v>
      </c>
      <c r="J31" s="155">
        <f t="shared" si="3"/>
        <v>0.5</v>
      </c>
      <c r="K31" s="156">
        <f t="shared" si="3"/>
        <v>0.5</v>
      </c>
      <c r="L31" s="153">
        <f t="shared" si="3"/>
        <v>0.5</v>
      </c>
      <c r="M31" s="154">
        <f t="shared" si="3"/>
        <v>0.5</v>
      </c>
      <c r="N31" s="155">
        <f t="shared" si="3"/>
        <v>0.5</v>
      </c>
      <c r="O31" s="156">
        <f t="shared" si="3"/>
        <v>0.5</v>
      </c>
      <c r="P31" s="153">
        <f t="shared" si="3"/>
        <v>0.5</v>
      </c>
      <c r="Q31" s="154">
        <f t="shared" si="3"/>
        <v>0.5</v>
      </c>
      <c r="R31" s="155">
        <f t="shared" si="3"/>
        <v>0.5</v>
      </c>
      <c r="S31" s="156">
        <f t="shared" si="3"/>
        <v>0.5</v>
      </c>
      <c r="T31" s="157">
        <f t="shared" si="3"/>
        <v>0.5</v>
      </c>
      <c r="U31" s="154">
        <f t="shared" si="3"/>
        <v>0.5</v>
      </c>
      <c r="V31" s="155">
        <f t="shared" si="3"/>
        <v>0.5</v>
      </c>
      <c r="W31" s="158">
        <f t="shared" si="3"/>
        <v>0.5</v>
      </c>
      <c r="X31" s="313">
        <f t="shared" si="3"/>
        <v>876</v>
      </c>
      <c r="Y31" s="314">
        <f t="shared" si="3"/>
        <v>876</v>
      </c>
      <c r="Z31" s="314">
        <f t="shared" si="3"/>
        <v>876.00000000000011</v>
      </c>
      <c r="AA31" s="314">
        <f t="shared" si="3"/>
        <v>876.00000000000011</v>
      </c>
      <c r="AB31" s="315">
        <f t="shared" si="3"/>
        <v>876.00000000000011</v>
      </c>
      <c r="AC31" s="161">
        <f t="shared" si="2"/>
        <v>4380</v>
      </c>
    </row>
    <row r="32" spans="3:29" ht="16" thickBot="1" x14ac:dyDescent="0.4">
      <c r="Z32" t="s">
        <v>24</v>
      </c>
    </row>
    <row r="33" spans="3:29" ht="16.5" thickTop="1" thickBot="1" x14ac:dyDescent="0.4">
      <c r="D33" s="474" t="s">
        <v>31</v>
      </c>
      <c r="E33" s="475"/>
      <c r="F33" s="475"/>
      <c r="G33" s="476"/>
      <c r="H33" s="475" t="s">
        <v>32</v>
      </c>
      <c r="I33" s="475"/>
      <c r="J33" s="475"/>
      <c r="K33" s="476"/>
      <c r="L33" s="474" t="s">
        <v>33</v>
      </c>
      <c r="M33" s="475"/>
      <c r="N33" s="475"/>
      <c r="O33" s="476"/>
      <c r="P33" s="474" t="s">
        <v>34</v>
      </c>
      <c r="Q33" s="475"/>
      <c r="R33" s="475"/>
      <c r="S33" s="476"/>
      <c r="T33" s="474" t="s">
        <v>35</v>
      </c>
      <c r="U33" s="475"/>
      <c r="V33" s="475"/>
      <c r="W33" s="475"/>
      <c r="X33" s="469" t="s">
        <v>25</v>
      </c>
      <c r="Y33" s="470"/>
      <c r="Z33" s="470"/>
      <c r="AA33" s="470"/>
      <c r="AB33" s="470"/>
      <c r="AC33" s="471"/>
    </row>
    <row r="34" spans="3:29" ht="16.5" thickTop="1" thickBot="1" x14ac:dyDescent="0.4">
      <c r="C34" s="127" t="s">
        <v>46</v>
      </c>
      <c r="D34" s="472" t="s">
        <v>38</v>
      </c>
      <c r="E34" s="467"/>
      <c r="F34" s="467" t="s">
        <v>39</v>
      </c>
      <c r="G34" s="473"/>
      <c r="H34" s="472" t="s">
        <v>38</v>
      </c>
      <c r="I34" s="467"/>
      <c r="J34" s="467" t="s">
        <v>39</v>
      </c>
      <c r="K34" s="473"/>
      <c r="L34" s="472" t="s">
        <v>38</v>
      </c>
      <c r="M34" s="467"/>
      <c r="N34" s="467" t="s">
        <v>39</v>
      </c>
      <c r="O34" s="473"/>
      <c r="P34" s="472" t="s">
        <v>38</v>
      </c>
      <c r="Q34" s="467"/>
      <c r="R34" s="467" t="s">
        <v>39</v>
      </c>
      <c r="S34" s="473"/>
      <c r="T34" s="472" t="s">
        <v>38</v>
      </c>
      <c r="U34" s="467"/>
      <c r="V34" s="467" t="s">
        <v>39</v>
      </c>
      <c r="W34" s="468"/>
      <c r="X34" s="162" t="s">
        <v>31</v>
      </c>
      <c r="Y34" s="163" t="s">
        <v>32</v>
      </c>
      <c r="Z34" s="163" t="s">
        <v>33</v>
      </c>
      <c r="AA34" s="163" t="s">
        <v>34</v>
      </c>
      <c r="AB34" s="164" t="s">
        <v>35</v>
      </c>
      <c r="AC34" s="160" t="s">
        <v>9</v>
      </c>
    </row>
    <row r="35" spans="3:29" ht="16.5" thickTop="1" thickBot="1" x14ac:dyDescent="0.4">
      <c r="C35" s="103" t="s">
        <v>41</v>
      </c>
      <c r="D35" s="128">
        <v>0.2</v>
      </c>
      <c r="E35" s="82">
        <v>0.2</v>
      </c>
      <c r="F35" s="81">
        <v>0.2</v>
      </c>
      <c r="G35" s="90">
        <v>0.2</v>
      </c>
      <c r="H35" s="128">
        <v>0.2</v>
      </c>
      <c r="I35" s="82">
        <v>0.2</v>
      </c>
      <c r="J35" s="81">
        <v>0.2</v>
      </c>
      <c r="K35" s="90">
        <v>0.2</v>
      </c>
      <c r="L35" s="128">
        <v>0.1</v>
      </c>
      <c r="M35" s="82">
        <v>0.1</v>
      </c>
      <c r="N35" s="81">
        <v>0.1</v>
      </c>
      <c r="O35" s="90">
        <v>0.1</v>
      </c>
      <c r="P35" s="128">
        <v>0.1</v>
      </c>
      <c r="Q35" s="82">
        <v>0.1</v>
      </c>
      <c r="R35" s="81">
        <v>0.1</v>
      </c>
      <c r="S35" s="90">
        <v>0.1</v>
      </c>
      <c r="T35" s="129">
        <v>0.1</v>
      </c>
      <c r="U35" s="82">
        <v>0.1</v>
      </c>
      <c r="V35" s="81">
        <v>0.1</v>
      </c>
      <c r="W35" s="148">
        <v>0.1</v>
      </c>
      <c r="X35" s="316">
        <f>SUM(D35:G35)*$B$12</f>
        <v>350.40000000000003</v>
      </c>
      <c r="Y35" s="317">
        <f>SUM(H35:K35)*$B$12</f>
        <v>350.40000000000003</v>
      </c>
      <c r="Z35" s="317">
        <f>SUM(L35:O35)*$B$12</f>
        <v>175.20000000000002</v>
      </c>
      <c r="AA35" s="317">
        <f>SUM(P35:S35)*$B$12</f>
        <v>175.20000000000002</v>
      </c>
      <c r="AB35" s="318">
        <f>SUM(T35:W35)*$B$12</f>
        <v>175.20000000000002</v>
      </c>
      <c r="AC35" s="161">
        <f t="shared" ref="AC35:AC40" si="4">SUM(X35:AB35)</f>
        <v>1226.4000000000001</v>
      </c>
    </row>
    <row r="36" spans="3:29" ht="16.5" thickTop="1" thickBot="1" x14ac:dyDescent="0.4">
      <c r="C36" s="115" t="s">
        <v>36</v>
      </c>
      <c r="D36" s="130">
        <v>0.9</v>
      </c>
      <c r="E36" s="131">
        <v>0.9</v>
      </c>
      <c r="F36" s="132">
        <v>0.9</v>
      </c>
      <c r="G36" s="133">
        <v>0.9</v>
      </c>
      <c r="H36" s="130">
        <v>0.9</v>
      </c>
      <c r="I36" s="131">
        <v>0.9</v>
      </c>
      <c r="J36" s="132">
        <v>0.9</v>
      </c>
      <c r="K36" s="133">
        <v>0.9</v>
      </c>
      <c r="L36" s="130">
        <v>0.4</v>
      </c>
      <c r="M36" s="131">
        <v>0.4</v>
      </c>
      <c r="N36" s="132">
        <v>0.4</v>
      </c>
      <c r="O36" s="133">
        <v>0.4</v>
      </c>
      <c r="P36" s="130">
        <v>0.4</v>
      </c>
      <c r="Q36" s="131">
        <v>0.4</v>
      </c>
      <c r="R36" s="132">
        <v>0.4</v>
      </c>
      <c r="S36" s="133">
        <v>0.4</v>
      </c>
      <c r="T36" s="134">
        <v>0.4</v>
      </c>
      <c r="U36" s="131">
        <v>0.4</v>
      </c>
      <c r="V36" s="132">
        <v>0.4</v>
      </c>
      <c r="W36" s="149">
        <v>0.4</v>
      </c>
      <c r="X36" s="316">
        <f>SUM(D36:G36)*$B$12</f>
        <v>1576.8</v>
      </c>
      <c r="Y36" s="317">
        <f>SUM(H36:K36)*$B$12</f>
        <v>1576.8</v>
      </c>
      <c r="Z36" s="317">
        <f>SUM(L36:O36)*$B$12</f>
        <v>700.80000000000007</v>
      </c>
      <c r="AA36" s="317">
        <f>SUM(P36:S36)*$B$12</f>
        <v>700.80000000000007</v>
      </c>
      <c r="AB36" s="318">
        <f>SUM(T36:W36)*$B$12</f>
        <v>700.80000000000007</v>
      </c>
      <c r="AC36" s="161">
        <f t="shared" si="4"/>
        <v>5256</v>
      </c>
    </row>
    <row r="37" spans="3:29" ht="16.5" thickTop="1" thickBot="1" x14ac:dyDescent="0.4">
      <c r="C37" s="104" t="s">
        <v>37</v>
      </c>
      <c r="D37" s="135"/>
      <c r="E37" s="84"/>
      <c r="F37" s="83"/>
      <c r="G37" s="85"/>
      <c r="H37" s="135"/>
      <c r="I37" s="84"/>
      <c r="J37" s="83"/>
      <c r="K37" s="85"/>
      <c r="L37" s="136">
        <v>0.8</v>
      </c>
      <c r="M37" s="87">
        <v>0.8</v>
      </c>
      <c r="N37" s="86">
        <v>0.8</v>
      </c>
      <c r="O37" s="137">
        <v>0.8</v>
      </c>
      <c r="P37" s="136">
        <v>0.8</v>
      </c>
      <c r="Q37" s="87">
        <v>0.8</v>
      </c>
      <c r="R37" s="86">
        <v>0.8</v>
      </c>
      <c r="S37" s="137">
        <v>0.8</v>
      </c>
      <c r="T37" s="138">
        <v>0.8</v>
      </c>
      <c r="U37" s="87">
        <v>0.8</v>
      </c>
      <c r="V37" s="86">
        <v>0.8</v>
      </c>
      <c r="W37" s="150">
        <v>0.8</v>
      </c>
      <c r="X37" s="316">
        <f>SUM(D37:G37)*$B$12</f>
        <v>0</v>
      </c>
      <c r="Y37" s="317">
        <f>SUM(H37:K37)*$B$12</f>
        <v>0</v>
      </c>
      <c r="Z37" s="317">
        <f>SUM(L37:O37)*$B$12</f>
        <v>1401.6000000000001</v>
      </c>
      <c r="AA37" s="317">
        <f>SUM(P37:S37)*$B$12</f>
        <v>1401.6000000000001</v>
      </c>
      <c r="AB37" s="318">
        <f>SUM(T37:W37)*$B$12</f>
        <v>1401.6000000000001</v>
      </c>
      <c r="AC37" s="161">
        <f t="shared" si="4"/>
        <v>4204.8</v>
      </c>
    </row>
    <row r="38" spans="3:29" ht="16.5" thickTop="1" thickBot="1" x14ac:dyDescent="0.4">
      <c r="C38" s="105" t="s">
        <v>40</v>
      </c>
      <c r="D38" s="139">
        <v>0.5</v>
      </c>
      <c r="E38" s="89">
        <v>0.5</v>
      </c>
      <c r="F38" s="88">
        <v>0.5</v>
      </c>
      <c r="G38" s="140">
        <v>0.5</v>
      </c>
      <c r="H38" s="139">
        <v>0.5</v>
      </c>
      <c r="I38" s="89">
        <v>0.5</v>
      </c>
      <c r="J38" s="88">
        <v>0.5</v>
      </c>
      <c r="K38" s="140">
        <v>0.5</v>
      </c>
      <c r="L38" s="139">
        <v>0.3</v>
      </c>
      <c r="M38" s="89">
        <v>0.3</v>
      </c>
      <c r="N38" s="88">
        <v>0.3</v>
      </c>
      <c r="O38" s="140">
        <v>0.3</v>
      </c>
      <c r="P38" s="139">
        <v>0.3</v>
      </c>
      <c r="Q38" s="89">
        <v>0.3</v>
      </c>
      <c r="R38" s="88">
        <v>0.3</v>
      </c>
      <c r="S38" s="140">
        <v>0.3</v>
      </c>
      <c r="T38" s="141">
        <v>0.3</v>
      </c>
      <c r="U38" s="89">
        <v>0.3</v>
      </c>
      <c r="V38" s="88">
        <v>0.3</v>
      </c>
      <c r="W38" s="151">
        <v>0.3</v>
      </c>
      <c r="X38" s="316">
        <f>SUM(D38:G38)*$B$12</f>
        <v>876</v>
      </c>
      <c r="Y38" s="317">
        <f>SUM(H38:K38)*$B$12</f>
        <v>876</v>
      </c>
      <c r="Z38" s="317">
        <f>SUM(L38:O38)*$B$12</f>
        <v>525.6</v>
      </c>
      <c r="AA38" s="317">
        <f>SUM(P38:S38)*$B$12</f>
        <v>525.6</v>
      </c>
      <c r="AB38" s="318">
        <f>SUM(T38:W38)*$B$12</f>
        <v>525.6</v>
      </c>
      <c r="AC38" s="161">
        <f t="shared" si="4"/>
        <v>3328.7999999999997</v>
      </c>
    </row>
    <row r="39" spans="3:29" ht="16.5" thickTop="1" thickBot="1" x14ac:dyDescent="0.4">
      <c r="C39" s="121" t="s">
        <v>42</v>
      </c>
      <c r="D39" s="142">
        <v>0.4</v>
      </c>
      <c r="E39" s="143">
        <v>0.4</v>
      </c>
      <c r="F39" s="144">
        <v>0.4</v>
      </c>
      <c r="G39" s="145">
        <v>0.4</v>
      </c>
      <c r="H39" s="142">
        <v>0.4</v>
      </c>
      <c r="I39" s="143">
        <v>0.4</v>
      </c>
      <c r="J39" s="144">
        <v>0.4</v>
      </c>
      <c r="K39" s="145">
        <v>0.4</v>
      </c>
      <c r="L39" s="142">
        <v>0.4</v>
      </c>
      <c r="M39" s="143">
        <v>0.4</v>
      </c>
      <c r="N39" s="144">
        <v>0.4</v>
      </c>
      <c r="O39" s="145">
        <v>0.4</v>
      </c>
      <c r="P39" s="142">
        <v>0.4</v>
      </c>
      <c r="Q39" s="143">
        <v>0.4</v>
      </c>
      <c r="R39" s="144">
        <v>0.4</v>
      </c>
      <c r="S39" s="145">
        <v>0.4</v>
      </c>
      <c r="T39" s="146">
        <v>0.4</v>
      </c>
      <c r="U39" s="143">
        <v>0.4</v>
      </c>
      <c r="V39" s="144">
        <v>0.4</v>
      </c>
      <c r="W39" s="152">
        <v>0.4</v>
      </c>
      <c r="X39" s="316">
        <f>SUM(D39:G39)*$B$12</f>
        <v>700.80000000000007</v>
      </c>
      <c r="Y39" s="317">
        <f>SUM(H39:K39)*$B$12</f>
        <v>700.80000000000007</v>
      </c>
      <c r="Z39" s="317">
        <f>SUM(L39:O39)*$B$12</f>
        <v>700.80000000000007</v>
      </c>
      <c r="AA39" s="317">
        <f>SUM(P39:S39)*$B$12</f>
        <v>700.80000000000007</v>
      </c>
      <c r="AB39" s="318">
        <f>SUM(T39:W39)*$B$12</f>
        <v>700.80000000000007</v>
      </c>
      <c r="AC39" s="161">
        <f t="shared" si="4"/>
        <v>3504.0000000000005</v>
      </c>
    </row>
    <row r="40" spans="3:29" ht="16.5" thickTop="1" thickBot="1" x14ac:dyDescent="0.4">
      <c r="C40" s="147" t="s">
        <v>9</v>
      </c>
      <c r="D40" s="153">
        <f t="shared" ref="D40:AB40" si="5">SUM(D35:D39)</f>
        <v>2</v>
      </c>
      <c r="E40" s="154">
        <f t="shared" si="5"/>
        <v>2</v>
      </c>
      <c r="F40" s="155">
        <f t="shared" si="5"/>
        <v>2</v>
      </c>
      <c r="G40" s="156">
        <f t="shared" si="5"/>
        <v>2</v>
      </c>
      <c r="H40" s="153">
        <f t="shared" si="5"/>
        <v>2</v>
      </c>
      <c r="I40" s="154">
        <f t="shared" si="5"/>
        <v>2</v>
      </c>
      <c r="J40" s="155">
        <f t="shared" si="5"/>
        <v>2</v>
      </c>
      <c r="K40" s="156">
        <f t="shared" si="5"/>
        <v>2</v>
      </c>
      <c r="L40" s="153">
        <f t="shared" si="5"/>
        <v>2</v>
      </c>
      <c r="M40" s="154">
        <f t="shared" si="5"/>
        <v>2</v>
      </c>
      <c r="N40" s="155">
        <f t="shared" si="5"/>
        <v>2</v>
      </c>
      <c r="O40" s="156">
        <f t="shared" si="5"/>
        <v>2</v>
      </c>
      <c r="P40" s="153">
        <f t="shared" si="5"/>
        <v>2</v>
      </c>
      <c r="Q40" s="154">
        <f t="shared" si="5"/>
        <v>2</v>
      </c>
      <c r="R40" s="155">
        <f t="shared" si="5"/>
        <v>2</v>
      </c>
      <c r="S40" s="156">
        <f t="shared" si="5"/>
        <v>2</v>
      </c>
      <c r="T40" s="157">
        <f t="shared" si="5"/>
        <v>2</v>
      </c>
      <c r="U40" s="154">
        <f t="shared" si="5"/>
        <v>2</v>
      </c>
      <c r="V40" s="155">
        <f t="shared" si="5"/>
        <v>2</v>
      </c>
      <c r="W40" s="158">
        <f t="shared" si="5"/>
        <v>2</v>
      </c>
      <c r="X40" s="159">
        <f t="shared" si="5"/>
        <v>3504</v>
      </c>
      <c r="Y40" s="305">
        <f t="shared" si="5"/>
        <v>3504</v>
      </c>
      <c r="Z40" s="305">
        <f t="shared" si="5"/>
        <v>3504.0000000000005</v>
      </c>
      <c r="AA40" s="305">
        <f t="shared" si="5"/>
        <v>3504.0000000000005</v>
      </c>
      <c r="AB40" s="306">
        <f t="shared" si="5"/>
        <v>3504.0000000000005</v>
      </c>
      <c r="AC40" s="161">
        <f t="shared" si="4"/>
        <v>17520</v>
      </c>
    </row>
    <row r="41" spans="3:29" ht="16" thickBot="1" x14ac:dyDescent="0.4"/>
    <row r="42" spans="3:29" ht="16.5" thickTop="1" thickBot="1" x14ac:dyDescent="0.4">
      <c r="D42" s="474" t="s">
        <v>31</v>
      </c>
      <c r="E42" s="475"/>
      <c r="F42" s="475"/>
      <c r="G42" s="476"/>
      <c r="H42" s="475" t="s">
        <v>32</v>
      </c>
      <c r="I42" s="475"/>
      <c r="J42" s="475"/>
      <c r="K42" s="476"/>
      <c r="L42" s="474" t="s">
        <v>33</v>
      </c>
      <c r="M42" s="475"/>
      <c r="N42" s="475"/>
      <c r="O42" s="476"/>
      <c r="P42" s="474" t="s">
        <v>34</v>
      </c>
      <c r="Q42" s="475"/>
      <c r="R42" s="475"/>
      <c r="S42" s="476"/>
      <c r="T42" s="474" t="s">
        <v>35</v>
      </c>
      <c r="U42" s="475"/>
      <c r="V42" s="475"/>
      <c r="W42" s="475"/>
      <c r="X42" s="469" t="s">
        <v>25</v>
      </c>
      <c r="Y42" s="470"/>
      <c r="Z42" s="470"/>
      <c r="AA42" s="470"/>
      <c r="AB42" s="470"/>
      <c r="AC42" s="471"/>
    </row>
    <row r="43" spans="3:29" ht="16.5" thickTop="1" thickBot="1" x14ac:dyDescent="0.4">
      <c r="C43" s="127" t="s">
        <v>47</v>
      </c>
      <c r="D43" s="472" t="s">
        <v>38</v>
      </c>
      <c r="E43" s="467"/>
      <c r="F43" s="467" t="s">
        <v>39</v>
      </c>
      <c r="G43" s="473"/>
      <c r="H43" s="472" t="s">
        <v>38</v>
      </c>
      <c r="I43" s="467"/>
      <c r="J43" s="467" t="s">
        <v>39</v>
      </c>
      <c r="K43" s="473"/>
      <c r="L43" s="472" t="s">
        <v>38</v>
      </c>
      <c r="M43" s="467"/>
      <c r="N43" s="467" t="s">
        <v>39</v>
      </c>
      <c r="O43" s="473"/>
      <c r="P43" s="472" t="s">
        <v>38</v>
      </c>
      <c r="Q43" s="467"/>
      <c r="R43" s="467" t="s">
        <v>39</v>
      </c>
      <c r="S43" s="473"/>
      <c r="T43" s="472" t="s">
        <v>38</v>
      </c>
      <c r="U43" s="467"/>
      <c r="V43" s="467" t="s">
        <v>39</v>
      </c>
      <c r="W43" s="468"/>
      <c r="X43" s="162" t="s">
        <v>31</v>
      </c>
      <c r="Y43" s="163" t="s">
        <v>32</v>
      </c>
      <c r="Z43" s="163" t="s">
        <v>33</v>
      </c>
      <c r="AA43" s="163" t="s">
        <v>34</v>
      </c>
      <c r="AB43" s="164" t="s">
        <v>35</v>
      </c>
      <c r="AC43" s="160" t="s">
        <v>9</v>
      </c>
    </row>
    <row r="44" spans="3:29" ht="16.5" thickTop="1" thickBot="1" x14ac:dyDescent="0.4">
      <c r="C44" s="103" t="s">
        <v>41</v>
      </c>
      <c r="D44" s="128">
        <v>0</v>
      </c>
      <c r="E44" s="82">
        <v>0</v>
      </c>
      <c r="F44" s="81">
        <v>0</v>
      </c>
      <c r="G44" s="90">
        <v>0</v>
      </c>
      <c r="H44" s="128">
        <v>0</v>
      </c>
      <c r="I44" s="82">
        <v>0</v>
      </c>
      <c r="J44" s="81">
        <v>0</v>
      </c>
      <c r="K44" s="90">
        <v>0</v>
      </c>
      <c r="L44" s="128">
        <v>0</v>
      </c>
      <c r="M44" s="82">
        <v>0</v>
      </c>
      <c r="N44" s="81">
        <v>0</v>
      </c>
      <c r="O44" s="90">
        <v>0</v>
      </c>
      <c r="P44" s="128">
        <v>0</v>
      </c>
      <c r="Q44" s="82">
        <v>0</v>
      </c>
      <c r="R44" s="81">
        <v>0</v>
      </c>
      <c r="S44" s="90">
        <v>0</v>
      </c>
      <c r="T44" s="129">
        <v>0</v>
      </c>
      <c r="U44" s="82">
        <v>0</v>
      </c>
      <c r="V44" s="81">
        <v>0</v>
      </c>
      <c r="W44" s="148">
        <v>0</v>
      </c>
      <c r="X44" s="316">
        <f>SUM(D44:G44)*$B$12</f>
        <v>0</v>
      </c>
      <c r="Y44" s="317">
        <f>SUM(H44:K44)*$B$12</f>
        <v>0</v>
      </c>
      <c r="Z44" s="317">
        <f>SUM(L44:O44)*$B$12</f>
        <v>0</v>
      </c>
      <c r="AA44" s="317">
        <f>SUM(P44:S44)*$B$12</f>
        <v>0</v>
      </c>
      <c r="AB44" s="318">
        <f>SUM(T44:W44)*$B$12</f>
        <v>0</v>
      </c>
      <c r="AC44" s="161">
        <f t="shared" ref="AC44:AC49" si="6">SUM(X44:AB44)</f>
        <v>0</v>
      </c>
    </row>
    <row r="45" spans="3:29" ht="16.5" thickTop="1" thickBot="1" x14ac:dyDescent="0.4">
      <c r="C45" s="115" t="s">
        <v>36</v>
      </c>
      <c r="D45" s="130">
        <v>1.8</v>
      </c>
      <c r="E45" s="131">
        <v>1.8</v>
      </c>
      <c r="F45" s="132">
        <v>1.8</v>
      </c>
      <c r="G45" s="133">
        <v>1.8</v>
      </c>
      <c r="H45" s="130">
        <v>1.8</v>
      </c>
      <c r="I45" s="131">
        <v>1.8</v>
      </c>
      <c r="J45" s="132">
        <v>1.8</v>
      </c>
      <c r="K45" s="133">
        <v>1.8</v>
      </c>
      <c r="L45" s="130">
        <v>0.8</v>
      </c>
      <c r="M45" s="131">
        <v>0.8</v>
      </c>
      <c r="N45" s="132">
        <v>0.8</v>
      </c>
      <c r="O45" s="133">
        <v>0.8</v>
      </c>
      <c r="P45" s="130">
        <v>0.8</v>
      </c>
      <c r="Q45" s="131">
        <v>0.8</v>
      </c>
      <c r="R45" s="132">
        <v>0.8</v>
      </c>
      <c r="S45" s="133">
        <v>0.8</v>
      </c>
      <c r="T45" s="134">
        <v>0.8</v>
      </c>
      <c r="U45" s="131">
        <v>0.8</v>
      </c>
      <c r="V45" s="132">
        <v>0.8</v>
      </c>
      <c r="W45" s="149">
        <v>0.8</v>
      </c>
      <c r="X45" s="316">
        <f>SUM(D45:G45)*$B$12</f>
        <v>3153.6</v>
      </c>
      <c r="Y45" s="317">
        <f>SUM(H45:K45)*$B$12</f>
        <v>3153.6</v>
      </c>
      <c r="Z45" s="317">
        <f>SUM(L45:O45)*$B$12</f>
        <v>1401.6000000000001</v>
      </c>
      <c r="AA45" s="317">
        <f>SUM(P45:S45)*$B$12</f>
        <v>1401.6000000000001</v>
      </c>
      <c r="AB45" s="318">
        <f>SUM(T45:W45)*$B$12</f>
        <v>1401.6000000000001</v>
      </c>
      <c r="AC45" s="161">
        <f t="shared" si="6"/>
        <v>10512</v>
      </c>
    </row>
    <row r="46" spans="3:29" ht="16.5" thickTop="1" thickBot="1" x14ac:dyDescent="0.4">
      <c r="C46" s="104" t="s">
        <v>37</v>
      </c>
      <c r="D46" s="135"/>
      <c r="E46" s="84"/>
      <c r="F46" s="83"/>
      <c r="G46" s="85"/>
      <c r="H46" s="135"/>
      <c r="I46" s="84"/>
      <c r="J46" s="83"/>
      <c r="K46" s="85"/>
      <c r="L46" s="136">
        <v>1.4</v>
      </c>
      <c r="M46" s="87">
        <v>1.4</v>
      </c>
      <c r="N46" s="86">
        <v>1.4</v>
      </c>
      <c r="O46" s="137">
        <v>1.4</v>
      </c>
      <c r="P46" s="136">
        <v>1.4</v>
      </c>
      <c r="Q46" s="87">
        <v>1.4</v>
      </c>
      <c r="R46" s="86">
        <v>1.4</v>
      </c>
      <c r="S46" s="137">
        <v>1.4</v>
      </c>
      <c r="T46" s="138">
        <v>1.4</v>
      </c>
      <c r="U46" s="87">
        <v>1.4</v>
      </c>
      <c r="V46" s="86">
        <v>1.4</v>
      </c>
      <c r="W46" s="150">
        <v>1.4</v>
      </c>
      <c r="X46" s="316">
        <f>SUM(D46:G46)*$B$12</f>
        <v>0</v>
      </c>
      <c r="Y46" s="317">
        <f>SUM(H46:K46)*$B$12</f>
        <v>0</v>
      </c>
      <c r="Z46" s="317">
        <f>SUM(L46:O46)*$B$12</f>
        <v>2452.7999999999997</v>
      </c>
      <c r="AA46" s="317">
        <f>SUM(P46:S46)*$B$12</f>
        <v>2452.7999999999997</v>
      </c>
      <c r="AB46" s="318">
        <f>SUM(T46:W46)*$B$12</f>
        <v>2452.7999999999997</v>
      </c>
      <c r="AC46" s="161">
        <f t="shared" si="6"/>
        <v>7358.4</v>
      </c>
    </row>
    <row r="47" spans="3:29" ht="16.5" thickTop="1" thickBot="1" x14ac:dyDescent="0.4">
      <c r="C47" s="105" t="s">
        <v>40</v>
      </c>
      <c r="D47" s="139">
        <v>1.2</v>
      </c>
      <c r="E47" s="89">
        <v>1.2</v>
      </c>
      <c r="F47" s="88">
        <v>1.2</v>
      </c>
      <c r="G47" s="140">
        <v>1.2</v>
      </c>
      <c r="H47" s="139">
        <v>1.2</v>
      </c>
      <c r="I47" s="89">
        <v>1.2</v>
      </c>
      <c r="J47" s="88">
        <v>1.2</v>
      </c>
      <c r="K47" s="140">
        <v>1.2</v>
      </c>
      <c r="L47" s="139">
        <v>0.8</v>
      </c>
      <c r="M47" s="89">
        <v>0.8</v>
      </c>
      <c r="N47" s="88">
        <v>0.8</v>
      </c>
      <c r="O47" s="140">
        <v>0.8</v>
      </c>
      <c r="P47" s="139">
        <v>0.8</v>
      </c>
      <c r="Q47" s="89">
        <v>0.8</v>
      </c>
      <c r="R47" s="88">
        <v>0.8</v>
      </c>
      <c r="S47" s="140">
        <v>0.8</v>
      </c>
      <c r="T47" s="141">
        <v>0.8</v>
      </c>
      <c r="U47" s="89">
        <v>0.8</v>
      </c>
      <c r="V47" s="88">
        <v>0.8</v>
      </c>
      <c r="W47" s="151">
        <v>0.8</v>
      </c>
      <c r="X47" s="316">
        <f>SUM(D47:G47)*$B$12</f>
        <v>2102.4</v>
      </c>
      <c r="Y47" s="317">
        <f>SUM(H47:K47)*$B$12</f>
        <v>2102.4</v>
      </c>
      <c r="Z47" s="317">
        <f>SUM(L47:O47)*$B$12</f>
        <v>1401.6000000000001</v>
      </c>
      <c r="AA47" s="317">
        <f>SUM(P47:S47)*$B$12</f>
        <v>1401.6000000000001</v>
      </c>
      <c r="AB47" s="318">
        <f>SUM(T47:W47)*$B$12</f>
        <v>1401.6000000000001</v>
      </c>
      <c r="AC47" s="161">
        <f t="shared" si="6"/>
        <v>8409.6</v>
      </c>
    </row>
    <row r="48" spans="3:29" ht="16.5" thickTop="1" thickBot="1" x14ac:dyDescent="0.4">
      <c r="C48" s="121" t="s">
        <v>42</v>
      </c>
      <c r="D48" s="142">
        <v>1</v>
      </c>
      <c r="E48" s="143">
        <v>1</v>
      </c>
      <c r="F48" s="144">
        <v>1</v>
      </c>
      <c r="G48" s="145">
        <v>1</v>
      </c>
      <c r="H48" s="142">
        <v>1</v>
      </c>
      <c r="I48" s="143">
        <v>1</v>
      </c>
      <c r="J48" s="144">
        <v>1</v>
      </c>
      <c r="K48" s="145">
        <v>1</v>
      </c>
      <c r="L48" s="142">
        <v>1</v>
      </c>
      <c r="M48" s="143">
        <v>1</v>
      </c>
      <c r="N48" s="144">
        <v>1</v>
      </c>
      <c r="O48" s="145">
        <v>1</v>
      </c>
      <c r="P48" s="142">
        <v>1</v>
      </c>
      <c r="Q48" s="143">
        <v>1</v>
      </c>
      <c r="R48" s="144">
        <v>1</v>
      </c>
      <c r="S48" s="145">
        <v>1</v>
      </c>
      <c r="T48" s="146">
        <v>1</v>
      </c>
      <c r="U48" s="143">
        <v>1</v>
      </c>
      <c r="V48" s="144">
        <v>1</v>
      </c>
      <c r="W48" s="152">
        <v>1</v>
      </c>
      <c r="X48" s="316">
        <f>SUM(D48:G48)*$B$12</f>
        <v>1752</v>
      </c>
      <c r="Y48" s="317">
        <f>SUM(H48:K48)*$B$12</f>
        <v>1752</v>
      </c>
      <c r="Z48" s="317">
        <f>SUM(L48:O48)*$B$12</f>
        <v>1752</v>
      </c>
      <c r="AA48" s="317">
        <f>SUM(P48:S48)*$B$12</f>
        <v>1752</v>
      </c>
      <c r="AB48" s="318">
        <f>SUM(T48:W48)*$B$12</f>
        <v>1752</v>
      </c>
      <c r="AC48" s="161">
        <f t="shared" si="6"/>
        <v>8760</v>
      </c>
    </row>
    <row r="49" spans="3:29" ht="16.5" thickTop="1" thickBot="1" x14ac:dyDescent="0.4">
      <c r="C49" s="147" t="s">
        <v>9</v>
      </c>
      <c r="D49" s="153">
        <f t="shared" ref="D49:AB49" si="7">SUM(D44:D48)</f>
        <v>4</v>
      </c>
      <c r="E49" s="154">
        <f t="shared" si="7"/>
        <v>4</v>
      </c>
      <c r="F49" s="155">
        <f t="shared" si="7"/>
        <v>4</v>
      </c>
      <c r="G49" s="156">
        <f t="shared" si="7"/>
        <v>4</v>
      </c>
      <c r="H49" s="153">
        <f t="shared" si="7"/>
        <v>4</v>
      </c>
      <c r="I49" s="154">
        <f t="shared" si="7"/>
        <v>4</v>
      </c>
      <c r="J49" s="155">
        <f t="shared" si="7"/>
        <v>4</v>
      </c>
      <c r="K49" s="156">
        <f t="shared" si="7"/>
        <v>4</v>
      </c>
      <c r="L49" s="153">
        <f t="shared" si="7"/>
        <v>4</v>
      </c>
      <c r="M49" s="154">
        <f t="shared" si="7"/>
        <v>4</v>
      </c>
      <c r="N49" s="155">
        <f t="shared" si="7"/>
        <v>4</v>
      </c>
      <c r="O49" s="156">
        <f t="shared" si="7"/>
        <v>4</v>
      </c>
      <c r="P49" s="153">
        <f t="shared" si="7"/>
        <v>4</v>
      </c>
      <c r="Q49" s="154">
        <f t="shared" si="7"/>
        <v>4</v>
      </c>
      <c r="R49" s="155">
        <f t="shared" si="7"/>
        <v>4</v>
      </c>
      <c r="S49" s="156">
        <f t="shared" si="7"/>
        <v>4</v>
      </c>
      <c r="T49" s="157">
        <f t="shared" si="7"/>
        <v>4</v>
      </c>
      <c r="U49" s="154">
        <f t="shared" si="7"/>
        <v>4</v>
      </c>
      <c r="V49" s="155">
        <f t="shared" si="7"/>
        <v>4</v>
      </c>
      <c r="W49" s="158">
        <f t="shared" si="7"/>
        <v>4</v>
      </c>
      <c r="X49" s="159">
        <f t="shared" si="7"/>
        <v>7008</v>
      </c>
      <c r="Y49" s="305">
        <f t="shared" si="7"/>
        <v>7008</v>
      </c>
      <c r="Z49" s="305">
        <f t="shared" si="7"/>
        <v>7008</v>
      </c>
      <c r="AA49" s="305">
        <f t="shared" si="7"/>
        <v>7008</v>
      </c>
      <c r="AB49" s="306">
        <f t="shared" si="7"/>
        <v>7008</v>
      </c>
      <c r="AC49" s="161">
        <f t="shared" si="6"/>
        <v>35040</v>
      </c>
    </row>
    <row r="50" spans="3:29" ht="16" thickBot="1" x14ac:dyDescent="0.4"/>
    <row r="51" spans="3:29" ht="16.5" thickTop="1" thickBot="1" x14ac:dyDescent="0.4">
      <c r="D51" s="474" t="s">
        <v>31</v>
      </c>
      <c r="E51" s="475"/>
      <c r="F51" s="475"/>
      <c r="G51" s="476"/>
      <c r="H51" s="475" t="s">
        <v>32</v>
      </c>
      <c r="I51" s="475"/>
      <c r="J51" s="475"/>
      <c r="K51" s="476"/>
      <c r="L51" s="474" t="s">
        <v>33</v>
      </c>
      <c r="M51" s="475"/>
      <c r="N51" s="475"/>
      <c r="O51" s="476"/>
      <c r="P51" s="474" t="s">
        <v>34</v>
      </c>
      <c r="Q51" s="475"/>
      <c r="R51" s="475"/>
      <c r="S51" s="476"/>
      <c r="T51" s="474" t="s">
        <v>35</v>
      </c>
      <c r="U51" s="475"/>
      <c r="V51" s="475"/>
      <c r="W51" s="475"/>
      <c r="X51" s="469" t="s">
        <v>25</v>
      </c>
      <c r="Y51" s="470"/>
      <c r="Z51" s="470"/>
      <c r="AA51" s="470"/>
      <c r="AB51" s="470"/>
      <c r="AC51" s="471"/>
    </row>
    <row r="52" spans="3:29" ht="16.5" thickTop="1" thickBot="1" x14ac:dyDescent="0.4">
      <c r="C52" s="127" t="s">
        <v>9</v>
      </c>
      <c r="D52" s="472" t="s">
        <v>38</v>
      </c>
      <c r="E52" s="467"/>
      <c r="F52" s="467" t="s">
        <v>39</v>
      </c>
      <c r="G52" s="473"/>
      <c r="H52" s="472" t="s">
        <v>38</v>
      </c>
      <c r="I52" s="467"/>
      <c r="J52" s="467" t="s">
        <v>39</v>
      </c>
      <c r="K52" s="473"/>
      <c r="L52" s="472" t="s">
        <v>38</v>
      </c>
      <c r="M52" s="467"/>
      <c r="N52" s="467" t="s">
        <v>39</v>
      </c>
      <c r="O52" s="473"/>
      <c r="P52" s="472" t="s">
        <v>38</v>
      </c>
      <c r="Q52" s="467"/>
      <c r="R52" s="467" t="s">
        <v>39</v>
      </c>
      <c r="S52" s="473"/>
      <c r="T52" s="472" t="s">
        <v>38</v>
      </c>
      <c r="U52" s="467"/>
      <c r="V52" s="467" t="s">
        <v>39</v>
      </c>
      <c r="W52" s="468"/>
      <c r="X52" s="162" t="s">
        <v>31</v>
      </c>
      <c r="Y52" s="163" t="s">
        <v>32</v>
      </c>
      <c r="Z52" s="163" t="s">
        <v>33</v>
      </c>
      <c r="AA52" s="163" t="s">
        <v>34</v>
      </c>
      <c r="AB52" s="164" t="s">
        <v>35</v>
      </c>
      <c r="AC52" s="160" t="s">
        <v>9</v>
      </c>
    </row>
    <row r="53" spans="3:29" ht="16.5" thickTop="1" thickBot="1" x14ac:dyDescent="0.4">
      <c r="C53" s="103" t="s">
        <v>41</v>
      </c>
      <c r="D53" s="128">
        <f>D17+D26+D35+D44</f>
        <v>0.60000000000000009</v>
      </c>
      <c r="E53" s="82">
        <f t="shared" ref="E53:W53" si="8">E17+E26+E35+E44</f>
        <v>0.60000000000000009</v>
      </c>
      <c r="F53" s="81">
        <f t="shared" si="8"/>
        <v>0.60000000000000009</v>
      </c>
      <c r="G53" s="90">
        <f t="shared" si="8"/>
        <v>0.60000000000000009</v>
      </c>
      <c r="H53" s="128">
        <f t="shared" si="8"/>
        <v>0.60000000000000009</v>
      </c>
      <c r="I53" s="82">
        <f t="shared" si="8"/>
        <v>0.60000000000000009</v>
      </c>
      <c r="J53" s="81">
        <f t="shared" si="8"/>
        <v>0.60000000000000009</v>
      </c>
      <c r="K53" s="90">
        <f t="shared" si="8"/>
        <v>0.60000000000000009</v>
      </c>
      <c r="L53" s="128">
        <f t="shared" si="8"/>
        <v>0.4</v>
      </c>
      <c r="M53" s="82">
        <f t="shared" si="8"/>
        <v>0.4</v>
      </c>
      <c r="N53" s="81">
        <f t="shared" si="8"/>
        <v>0.4</v>
      </c>
      <c r="O53" s="90">
        <f t="shared" si="8"/>
        <v>0.4</v>
      </c>
      <c r="P53" s="128">
        <f t="shared" si="8"/>
        <v>0.4</v>
      </c>
      <c r="Q53" s="82">
        <f t="shared" si="8"/>
        <v>0.4</v>
      </c>
      <c r="R53" s="81">
        <f t="shared" si="8"/>
        <v>0.4</v>
      </c>
      <c r="S53" s="90">
        <f t="shared" si="8"/>
        <v>0.4</v>
      </c>
      <c r="T53" s="129">
        <f t="shared" si="8"/>
        <v>0.4</v>
      </c>
      <c r="U53" s="82">
        <f t="shared" si="8"/>
        <v>0.4</v>
      </c>
      <c r="V53" s="81">
        <f t="shared" si="8"/>
        <v>0.4</v>
      </c>
      <c r="W53" s="148">
        <f t="shared" si="8"/>
        <v>0.4</v>
      </c>
      <c r="X53" s="319">
        <f>SUM(D53:G53)*$B$12</f>
        <v>1051.2</v>
      </c>
      <c r="Y53" s="320">
        <f>SUM(H53:K53)*$B$12</f>
        <v>1051.2</v>
      </c>
      <c r="Z53" s="320">
        <f>SUM(L53:O53)*$B$12</f>
        <v>700.80000000000007</v>
      </c>
      <c r="AA53" s="320">
        <f>SUM(P53:S53)*$B$12</f>
        <v>700.80000000000007</v>
      </c>
      <c r="AB53" s="321">
        <f>SUM(T53:W53)*$B$12</f>
        <v>700.80000000000007</v>
      </c>
      <c r="AC53" s="161">
        <f t="shared" ref="AC53:AC58" si="9">SUM(X53:AB53)</f>
        <v>4204.8</v>
      </c>
    </row>
    <row r="54" spans="3:29" ht="16.5" thickTop="1" thickBot="1" x14ac:dyDescent="0.4">
      <c r="C54" s="115" t="s">
        <v>36</v>
      </c>
      <c r="D54" s="130">
        <f t="shared" ref="D54:W54" si="10">D18+D27+D36+D45</f>
        <v>2.9000000000000004</v>
      </c>
      <c r="E54" s="131">
        <f t="shared" si="10"/>
        <v>2.9000000000000004</v>
      </c>
      <c r="F54" s="132">
        <f t="shared" si="10"/>
        <v>2.9000000000000004</v>
      </c>
      <c r="G54" s="133">
        <f t="shared" si="10"/>
        <v>2.9000000000000004</v>
      </c>
      <c r="H54" s="130">
        <f t="shared" si="10"/>
        <v>2.9000000000000004</v>
      </c>
      <c r="I54" s="131">
        <f t="shared" si="10"/>
        <v>2.9000000000000004</v>
      </c>
      <c r="J54" s="132">
        <f t="shared" si="10"/>
        <v>2.9000000000000004</v>
      </c>
      <c r="K54" s="133">
        <f t="shared" si="10"/>
        <v>2.9000000000000004</v>
      </c>
      <c r="L54" s="130">
        <f t="shared" si="10"/>
        <v>1.3</v>
      </c>
      <c r="M54" s="131">
        <f t="shared" si="10"/>
        <v>1.3</v>
      </c>
      <c r="N54" s="132">
        <f t="shared" si="10"/>
        <v>1.3</v>
      </c>
      <c r="O54" s="133">
        <f t="shared" si="10"/>
        <v>1.3</v>
      </c>
      <c r="P54" s="130">
        <f t="shared" si="10"/>
        <v>1.3</v>
      </c>
      <c r="Q54" s="131">
        <f t="shared" si="10"/>
        <v>1.3</v>
      </c>
      <c r="R54" s="132">
        <f t="shared" si="10"/>
        <v>1.3</v>
      </c>
      <c r="S54" s="133">
        <f t="shared" si="10"/>
        <v>1.3</v>
      </c>
      <c r="T54" s="134">
        <f t="shared" si="10"/>
        <v>1.3</v>
      </c>
      <c r="U54" s="131">
        <f t="shared" si="10"/>
        <v>1.3</v>
      </c>
      <c r="V54" s="132">
        <f t="shared" si="10"/>
        <v>1.3</v>
      </c>
      <c r="W54" s="149">
        <f t="shared" si="10"/>
        <v>1.3</v>
      </c>
      <c r="X54" s="319">
        <f>SUM(D54:G54)*$B$12</f>
        <v>5080.8</v>
      </c>
      <c r="Y54" s="320">
        <f>SUM(H54:K54)*$B$12</f>
        <v>5080.8</v>
      </c>
      <c r="Z54" s="320">
        <f>SUM(L54:O54)*$B$12</f>
        <v>2277.6</v>
      </c>
      <c r="AA54" s="320">
        <f>SUM(P54:S54)*$B$12</f>
        <v>2277.6</v>
      </c>
      <c r="AB54" s="321">
        <f>SUM(T54:W54)*$B$12</f>
        <v>2277.6</v>
      </c>
      <c r="AC54" s="161">
        <f t="shared" si="9"/>
        <v>16994.400000000001</v>
      </c>
    </row>
    <row r="55" spans="3:29" ht="16.5" thickTop="1" thickBot="1" x14ac:dyDescent="0.4">
      <c r="C55" s="104" t="s">
        <v>37</v>
      </c>
      <c r="D55" s="135">
        <f t="shared" ref="D55:W55" si="11">D19+D28+D37+D46</f>
        <v>0</v>
      </c>
      <c r="E55" s="84">
        <f t="shared" si="11"/>
        <v>0</v>
      </c>
      <c r="F55" s="83">
        <f t="shared" si="11"/>
        <v>0</v>
      </c>
      <c r="G55" s="85">
        <f t="shared" si="11"/>
        <v>0</v>
      </c>
      <c r="H55" s="135">
        <f t="shared" si="11"/>
        <v>0</v>
      </c>
      <c r="I55" s="84">
        <f t="shared" si="11"/>
        <v>0</v>
      </c>
      <c r="J55" s="83">
        <f t="shared" si="11"/>
        <v>0</v>
      </c>
      <c r="K55" s="85">
        <f t="shared" si="11"/>
        <v>0</v>
      </c>
      <c r="L55" s="136">
        <f t="shared" si="11"/>
        <v>2.5499999999999998</v>
      </c>
      <c r="M55" s="87">
        <f t="shared" si="11"/>
        <v>2.5499999999999998</v>
      </c>
      <c r="N55" s="86">
        <f t="shared" si="11"/>
        <v>2.5499999999999998</v>
      </c>
      <c r="O55" s="137">
        <f t="shared" si="11"/>
        <v>2.5499999999999998</v>
      </c>
      <c r="P55" s="136">
        <f t="shared" si="11"/>
        <v>2.5499999999999998</v>
      </c>
      <c r="Q55" s="87">
        <f t="shared" si="11"/>
        <v>2.5499999999999998</v>
      </c>
      <c r="R55" s="86">
        <f t="shared" si="11"/>
        <v>2.5499999999999998</v>
      </c>
      <c r="S55" s="137">
        <f t="shared" si="11"/>
        <v>2.5499999999999998</v>
      </c>
      <c r="T55" s="138">
        <f t="shared" si="11"/>
        <v>2.5499999999999998</v>
      </c>
      <c r="U55" s="87">
        <f t="shared" si="11"/>
        <v>2.5499999999999998</v>
      </c>
      <c r="V55" s="86">
        <f t="shared" si="11"/>
        <v>2.5499999999999998</v>
      </c>
      <c r="W55" s="150">
        <f t="shared" si="11"/>
        <v>2.5499999999999998</v>
      </c>
      <c r="X55" s="319">
        <f>SUM(D55:G55)*$B$12</f>
        <v>0</v>
      </c>
      <c r="Y55" s="320">
        <f>SUM(H55:K55)*$B$12</f>
        <v>0</v>
      </c>
      <c r="Z55" s="320">
        <f>SUM(L55:O55)*$B$12</f>
        <v>4467.5999999999995</v>
      </c>
      <c r="AA55" s="320">
        <f>SUM(P55:S55)*$B$12</f>
        <v>4467.5999999999995</v>
      </c>
      <c r="AB55" s="321">
        <f>SUM(T55:W55)*$B$12</f>
        <v>4467.5999999999995</v>
      </c>
      <c r="AC55" s="161">
        <f t="shared" si="9"/>
        <v>13402.8</v>
      </c>
    </row>
    <row r="56" spans="3:29" ht="16.5" thickTop="1" thickBot="1" x14ac:dyDescent="0.4">
      <c r="C56" s="105" t="s">
        <v>40</v>
      </c>
      <c r="D56" s="139">
        <f t="shared" ref="D56:W56" si="12">D20+D29+D38+D47</f>
        <v>1.95</v>
      </c>
      <c r="E56" s="89">
        <f t="shared" si="12"/>
        <v>1.95</v>
      </c>
      <c r="F56" s="88">
        <f t="shared" si="12"/>
        <v>1.95</v>
      </c>
      <c r="G56" s="140">
        <f t="shared" si="12"/>
        <v>1.95</v>
      </c>
      <c r="H56" s="139">
        <f t="shared" si="12"/>
        <v>1.95</v>
      </c>
      <c r="I56" s="89">
        <f t="shared" si="12"/>
        <v>1.95</v>
      </c>
      <c r="J56" s="88">
        <f t="shared" si="12"/>
        <v>1.95</v>
      </c>
      <c r="K56" s="140">
        <f t="shared" si="12"/>
        <v>1.95</v>
      </c>
      <c r="L56" s="139">
        <f t="shared" si="12"/>
        <v>1.2000000000000002</v>
      </c>
      <c r="M56" s="89">
        <f t="shared" si="12"/>
        <v>1.2000000000000002</v>
      </c>
      <c r="N56" s="88">
        <f t="shared" si="12"/>
        <v>1.2000000000000002</v>
      </c>
      <c r="O56" s="140">
        <f t="shared" si="12"/>
        <v>1.2000000000000002</v>
      </c>
      <c r="P56" s="139">
        <f t="shared" si="12"/>
        <v>1.2000000000000002</v>
      </c>
      <c r="Q56" s="89">
        <f t="shared" si="12"/>
        <v>1.2000000000000002</v>
      </c>
      <c r="R56" s="88">
        <f t="shared" si="12"/>
        <v>1.2000000000000002</v>
      </c>
      <c r="S56" s="140">
        <f t="shared" si="12"/>
        <v>1.2000000000000002</v>
      </c>
      <c r="T56" s="141">
        <f t="shared" si="12"/>
        <v>1.2000000000000002</v>
      </c>
      <c r="U56" s="89">
        <f t="shared" si="12"/>
        <v>1.2000000000000002</v>
      </c>
      <c r="V56" s="88">
        <f t="shared" si="12"/>
        <v>1.2000000000000002</v>
      </c>
      <c r="W56" s="151">
        <f t="shared" si="12"/>
        <v>1.2000000000000002</v>
      </c>
      <c r="X56" s="319">
        <f>SUM(D56:G56)*$B$12</f>
        <v>3416.4</v>
      </c>
      <c r="Y56" s="320">
        <f>SUM(H56:K56)*$B$12</f>
        <v>3416.4</v>
      </c>
      <c r="Z56" s="320">
        <f>SUM(L56:O56)*$B$12</f>
        <v>2102.4</v>
      </c>
      <c r="AA56" s="320">
        <f>SUM(P56:S56)*$B$12</f>
        <v>2102.4</v>
      </c>
      <c r="AB56" s="321">
        <f>SUM(T56:W56)*$B$12</f>
        <v>2102.4</v>
      </c>
      <c r="AC56" s="161">
        <f t="shared" si="9"/>
        <v>13140</v>
      </c>
    </row>
    <row r="57" spans="3:29" ht="16.5" thickTop="1" thickBot="1" x14ac:dyDescent="0.4">
      <c r="C57" s="121" t="s">
        <v>42</v>
      </c>
      <c r="D57" s="142">
        <f t="shared" ref="D57:W57" si="13">D21+D30+D39+D48</f>
        <v>1.55</v>
      </c>
      <c r="E57" s="143">
        <f t="shared" si="13"/>
        <v>1.55</v>
      </c>
      <c r="F57" s="144">
        <f t="shared" si="13"/>
        <v>1.55</v>
      </c>
      <c r="G57" s="145">
        <f t="shared" si="13"/>
        <v>1.55</v>
      </c>
      <c r="H57" s="142">
        <f t="shared" si="13"/>
        <v>1.55</v>
      </c>
      <c r="I57" s="143">
        <f t="shared" si="13"/>
        <v>1.55</v>
      </c>
      <c r="J57" s="144">
        <f t="shared" si="13"/>
        <v>1.55</v>
      </c>
      <c r="K57" s="145">
        <f t="shared" si="13"/>
        <v>1.55</v>
      </c>
      <c r="L57" s="142">
        <f t="shared" si="13"/>
        <v>1.55</v>
      </c>
      <c r="M57" s="143">
        <f t="shared" si="13"/>
        <v>1.55</v>
      </c>
      <c r="N57" s="144">
        <f t="shared" si="13"/>
        <v>1.55</v>
      </c>
      <c r="O57" s="145">
        <f t="shared" si="13"/>
        <v>1.55</v>
      </c>
      <c r="P57" s="142">
        <f t="shared" si="13"/>
        <v>1.55</v>
      </c>
      <c r="Q57" s="143">
        <f t="shared" si="13"/>
        <v>1.55</v>
      </c>
      <c r="R57" s="144">
        <f t="shared" si="13"/>
        <v>1.55</v>
      </c>
      <c r="S57" s="145">
        <f t="shared" si="13"/>
        <v>1.55</v>
      </c>
      <c r="T57" s="146">
        <f t="shared" si="13"/>
        <v>1.55</v>
      </c>
      <c r="U57" s="143">
        <f t="shared" si="13"/>
        <v>1.55</v>
      </c>
      <c r="V57" s="144">
        <f t="shared" si="13"/>
        <v>1.55</v>
      </c>
      <c r="W57" s="152">
        <f t="shared" si="13"/>
        <v>1.55</v>
      </c>
      <c r="X57" s="319">
        <f>SUM(D57:G57)*$B$12</f>
        <v>2715.6</v>
      </c>
      <c r="Y57" s="320">
        <f>SUM(H57:K57)*$B$12</f>
        <v>2715.6</v>
      </c>
      <c r="Z57" s="320">
        <f>SUM(L57:O57)*$B$12</f>
        <v>2715.6</v>
      </c>
      <c r="AA57" s="320">
        <f>SUM(P57:S57)*$B$12</f>
        <v>2715.6</v>
      </c>
      <c r="AB57" s="321">
        <f>SUM(T57:W57)*$B$12</f>
        <v>2715.6</v>
      </c>
      <c r="AC57" s="161">
        <f t="shared" si="9"/>
        <v>13578</v>
      </c>
    </row>
    <row r="58" spans="3:29" ht="16.5" thickTop="1" thickBot="1" x14ac:dyDescent="0.4">
      <c r="C58" s="147" t="s">
        <v>9</v>
      </c>
      <c r="D58" s="153">
        <f t="shared" ref="D58:AB58" si="14">SUM(D53:D57)</f>
        <v>7</v>
      </c>
      <c r="E58" s="154">
        <f t="shared" si="14"/>
        <v>7</v>
      </c>
      <c r="F58" s="155">
        <f t="shared" si="14"/>
        <v>7</v>
      </c>
      <c r="G58" s="156">
        <f t="shared" si="14"/>
        <v>7</v>
      </c>
      <c r="H58" s="153">
        <f t="shared" si="14"/>
        <v>7</v>
      </c>
      <c r="I58" s="154">
        <f t="shared" si="14"/>
        <v>7</v>
      </c>
      <c r="J58" s="155">
        <f t="shared" si="14"/>
        <v>7</v>
      </c>
      <c r="K58" s="156">
        <f t="shared" si="14"/>
        <v>7</v>
      </c>
      <c r="L58" s="153">
        <f t="shared" si="14"/>
        <v>7</v>
      </c>
      <c r="M58" s="154">
        <f t="shared" si="14"/>
        <v>7</v>
      </c>
      <c r="N58" s="155">
        <f t="shared" si="14"/>
        <v>7</v>
      </c>
      <c r="O58" s="156">
        <f t="shared" si="14"/>
        <v>7</v>
      </c>
      <c r="P58" s="153">
        <f t="shared" si="14"/>
        <v>7</v>
      </c>
      <c r="Q58" s="154">
        <f t="shared" si="14"/>
        <v>7</v>
      </c>
      <c r="R58" s="155">
        <f t="shared" si="14"/>
        <v>7</v>
      </c>
      <c r="S58" s="156">
        <f t="shared" si="14"/>
        <v>7</v>
      </c>
      <c r="T58" s="157">
        <f t="shared" si="14"/>
        <v>7</v>
      </c>
      <c r="U58" s="154">
        <f t="shared" si="14"/>
        <v>7</v>
      </c>
      <c r="V58" s="155">
        <f t="shared" si="14"/>
        <v>7</v>
      </c>
      <c r="W58" s="158">
        <f t="shared" si="14"/>
        <v>7</v>
      </c>
      <c r="X58" s="159">
        <f t="shared" si="14"/>
        <v>12264</v>
      </c>
      <c r="Y58" s="305">
        <f t="shared" si="14"/>
        <v>12264</v>
      </c>
      <c r="Z58" s="305">
        <f t="shared" si="14"/>
        <v>12264</v>
      </c>
      <c r="AA58" s="305">
        <f t="shared" si="14"/>
        <v>12264</v>
      </c>
      <c r="AB58" s="306">
        <f t="shared" si="14"/>
        <v>12264</v>
      </c>
      <c r="AC58" s="304">
        <f t="shared" si="9"/>
        <v>61320</v>
      </c>
    </row>
  </sheetData>
  <mergeCells count="95">
    <mergeCell ref="R4:S4"/>
    <mergeCell ref="T4:U4"/>
    <mergeCell ref="V4:W4"/>
    <mergeCell ref="N4:O4"/>
    <mergeCell ref="N16:O16"/>
    <mergeCell ref="P16:Q16"/>
    <mergeCell ref="R16:S16"/>
    <mergeCell ref="T16:U16"/>
    <mergeCell ref="V16:W16"/>
    <mergeCell ref="T3:W3"/>
    <mergeCell ref="D15:G15"/>
    <mergeCell ref="H15:K15"/>
    <mergeCell ref="L15:O15"/>
    <mergeCell ref="P15:S15"/>
    <mergeCell ref="T15:W15"/>
    <mergeCell ref="D4:E4"/>
    <mergeCell ref="F4:G4"/>
    <mergeCell ref="H4:I4"/>
    <mergeCell ref="J4:K4"/>
    <mergeCell ref="L4:M4"/>
    <mergeCell ref="D3:G3"/>
    <mergeCell ref="H3:K3"/>
    <mergeCell ref="L3:O3"/>
    <mergeCell ref="P3:S3"/>
    <mergeCell ref="P4:Q4"/>
    <mergeCell ref="D16:E16"/>
    <mergeCell ref="F16:G16"/>
    <mergeCell ref="H16:I16"/>
    <mergeCell ref="J16:K16"/>
    <mergeCell ref="L16:M16"/>
    <mergeCell ref="X15:AC15"/>
    <mergeCell ref="X33:AC33"/>
    <mergeCell ref="D24:G24"/>
    <mergeCell ref="H24:K24"/>
    <mergeCell ref="L24:O24"/>
    <mergeCell ref="P24:S24"/>
    <mergeCell ref="T24:W24"/>
    <mergeCell ref="X24:AC24"/>
    <mergeCell ref="P25:Q25"/>
    <mergeCell ref="R25:S25"/>
    <mergeCell ref="T25:U25"/>
    <mergeCell ref="V25:W25"/>
    <mergeCell ref="D25:E25"/>
    <mergeCell ref="F25:G25"/>
    <mergeCell ref="H25:I25"/>
    <mergeCell ref="J25:K25"/>
    <mergeCell ref="L25:M25"/>
    <mergeCell ref="D33:G33"/>
    <mergeCell ref="H33:K33"/>
    <mergeCell ref="L33:O33"/>
    <mergeCell ref="P33:S33"/>
    <mergeCell ref="N25:O25"/>
    <mergeCell ref="T33:W33"/>
    <mergeCell ref="P34:Q34"/>
    <mergeCell ref="R34:S34"/>
    <mergeCell ref="T34:U34"/>
    <mergeCell ref="V34:W34"/>
    <mergeCell ref="L34:M34"/>
    <mergeCell ref="D42:G42"/>
    <mergeCell ref="H42:K42"/>
    <mergeCell ref="L42:O42"/>
    <mergeCell ref="P42:S42"/>
    <mergeCell ref="N34:O34"/>
    <mergeCell ref="D34:E34"/>
    <mergeCell ref="F34:G34"/>
    <mergeCell ref="H34:I34"/>
    <mergeCell ref="J34:K34"/>
    <mergeCell ref="X42:AC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T42:W42"/>
    <mergeCell ref="V52:W52"/>
    <mergeCell ref="X51:AC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D51:G51"/>
    <mergeCell ref="H51:K51"/>
    <mergeCell ref="L51:O51"/>
    <mergeCell ref="P51:S51"/>
    <mergeCell ref="T51:W51"/>
  </mergeCells>
  <phoneticPr fontId="7" type="noConversion"/>
  <pageMargins left="0.7" right="0.7" top="0.75" bottom="0.75" header="0.3" footer="0.3"/>
  <ignoredErrors>
    <ignoredError sqref="X17:AB18 Y19:AB19 X20:AB21 X26:Y2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F31B-3741-944D-BB54-259033920D1A}">
  <dimension ref="B1:Q4"/>
  <sheetViews>
    <sheetView zoomScale="90" zoomScaleNormal="90" workbookViewId="0">
      <selection activeCell="G4" sqref="G4"/>
    </sheetView>
  </sheetViews>
  <sheetFormatPr defaultColWidth="10.6640625" defaultRowHeight="15.5" x14ac:dyDescent="0.35"/>
  <cols>
    <col min="1" max="1" width="6" customWidth="1"/>
    <col min="2" max="2" width="7.6640625" style="288" customWidth="1"/>
    <col min="3" max="3" width="9.33203125" style="288" customWidth="1"/>
    <col min="5" max="5" width="31.1640625" customWidth="1"/>
    <col min="6" max="6" width="9" style="288" customWidth="1"/>
  </cols>
  <sheetData>
    <row r="1" spans="2:17" ht="16" thickBot="1" x14ac:dyDescent="0.4"/>
    <row r="2" spans="2:17" ht="16" thickBot="1" x14ac:dyDescent="0.4">
      <c r="F2" s="479" t="s">
        <v>31</v>
      </c>
      <c r="G2" s="480"/>
      <c r="H2" s="479" t="s">
        <v>32</v>
      </c>
      <c r="I2" s="480"/>
      <c r="J2" s="481" t="s">
        <v>33</v>
      </c>
      <c r="K2" s="478"/>
      <c r="L2" s="477" t="s">
        <v>34</v>
      </c>
      <c r="M2" s="478"/>
      <c r="N2" s="477" t="s">
        <v>35</v>
      </c>
      <c r="O2" s="478"/>
      <c r="P2" s="477" t="s">
        <v>9</v>
      </c>
      <c r="Q2" s="478"/>
    </row>
    <row r="3" spans="2:17" s="300" customFormat="1" ht="31.5" thickBot="1" x14ac:dyDescent="0.4">
      <c r="B3" s="301" t="s">
        <v>107</v>
      </c>
      <c r="C3" s="216" t="s">
        <v>108</v>
      </c>
      <c r="D3" s="216" t="s">
        <v>109</v>
      </c>
      <c r="E3" s="322" t="s">
        <v>110</v>
      </c>
      <c r="F3" s="301" t="s">
        <v>25</v>
      </c>
      <c r="G3" s="200" t="s">
        <v>111</v>
      </c>
      <c r="H3" s="301" t="s">
        <v>25</v>
      </c>
      <c r="I3" s="200" t="s">
        <v>111</v>
      </c>
      <c r="J3" s="325" t="s">
        <v>25</v>
      </c>
      <c r="K3" s="326" t="s">
        <v>111</v>
      </c>
      <c r="L3" s="325" t="s">
        <v>25</v>
      </c>
      <c r="M3" s="326" t="s">
        <v>111</v>
      </c>
      <c r="N3" s="325" t="s">
        <v>25</v>
      </c>
      <c r="O3" s="326" t="s">
        <v>111</v>
      </c>
      <c r="P3" s="325" t="s">
        <v>25</v>
      </c>
      <c r="Q3" s="326" t="s">
        <v>111</v>
      </c>
    </row>
    <row r="4" spans="2:17" s="13" customFormat="1" ht="109" thickBot="1" x14ac:dyDescent="0.4">
      <c r="B4" s="301">
        <v>4</v>
      </c>
      <c r="C4" s="216">
        <v>8</v>
      </c>
      <c r="D4" s="302" t="s">
        <v>114</v>
      </c>
      <c r="E4" s="323" t="s">
        <v>115</v>
      </c>
      <c r="F4" s="324">
        <f>'Plan Fase 2'!X58</f>
        <v>12264</v>
      </c>
      <c r="G4" s="303">
        <f>F4/'Plan Fase 1'!$B$34</f>
        <v>7</v>
      </c>
      <c r="H4" s="324">
        <f>'Plan Fase 2'!Y58</f>
        <v>12264</v>
      </c>
      <c r="I4" s="303">
        <f>H4/'Plan Fase 1'!$B$34</f>
        <v>7</v>
      </c>
      <c r="J4" s="327">
        <f>'Plan Fase 2'!Z58</f>
        <v>12264</v>
      </c>
      <c r="K4" s="303">
        <f>J4/'Plan Fase 1'!$B$34</f>
        <v>7</v>
      </c>
      <c r="L4" s="327">
        <f>'Plan Fase 2'!AA58</f>
        <v>12264</v>
      </c>
      <c r="M4" s="303">
        <f>L4/'Plan Fase 1'!$B$34</f>
        <v>7</v>
      </c>
      <c r="N4" s="327">
        <f>'Plan Fase 2'!AB58</f>
        <v>12264</v>
      </c>
      <c r="O4" s="303">
        <f>N4/'Plan Fase 1'!$B$34</f>
        <v>7</v>
      </c>
      <c r="P4" s="327">
        <f>F4+H4+J4+L4+N4</f>
        <v>61320</v>
      </c>
      <c r="Q4" s="303">
        <f>P4/'Plan Fase 1'!$B$34</f>
        <v>35</v>
      </c>
    </row>
  </sheetData>
  <mergeCells count="6">
    <mergeCell ref="P2:Q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2BC2-63EF-5C48-9F2C-EDE4AEB47C52}">
  <dimension ref="B4:I13"/>
  <sheetViews>
    <sheetView zoomScale="130" zoomScaleNormal="130" workbookViewId="0">
      <selection activeCell="L9" sqref="L9"/>
    </sheetView>
  </sheetViews>
  <sheetFormatPr defaultColWidth="10.6640625" defaultRowHeight="15.5" x14ac:dyDescent="0.35"/>
  <cols>
    <col min="2" max="2" width="19" customWidth="1"/>
    <col min="3" max="3" width="11.1640625" bestFit="1" customWidth="1"/>
  </cols>
  <sheetData>
    <row r="4" spans="2:9" ht="16" thickBot="1" x14ac:dyDescent="0.4"/>
    <row r="5" spans="2:9" ht="16" thickBot="1" x14ac:dyDescent="0.4">
      <c r="B5" s="15" t="s">
        <v>15</v>
      </c>
      <c r="C5" s="80">
        <f>'Plan Fase 1'!B34</f>
        <v>1752</v>
      </c>
    </row>
    <row r="6" spans="2:9" ht="16" thickBot="1" x14ac:dyDescent="0.4"/>
    <row r="7" spans="2:9" ht="16" thickBot="1" x14ac:dyDescent="0.4">
      <c r="B7" s="16"/>
      <c r="C7" s="482" t="s">
        <v>14</v>
      </c>
      <c r="D7" s="483"/>
      <c r="E7" s="483"/>
      <c r="F7" s="483"/>
      <c r="G7" s="483"/>
      <c r="H7" s="484"/>
      <c r="I7" s="16"/>
    </row>
    <row r="8" spans="2:9" s="13" customFormat="1" x14ac:dyDescent="0.35">
      <c r="B8" s="17" t="s">
        <v>8</v>
      </c>
      <c r="C8" s="18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20" t="s">
        <v>7</v>
      </c>
      <c r="I8" s="21" t="s">
        <v>17</v>
      </c>
    </row>
    <row r="9" spans="2:9" x14ac:dyDescent="0.35">
      <c r="B9" s="22" t="s">
        <v>12</v>
      </c>
      <c r="C9" s="23">
        <f>'Plan Fase 1'!AB67</f>
        <v>1752</v>
      </c>
      <c r="D9" s="24">
        <f>'Plan Fase 2'!X22</f>
        <v>876.00000000000011</v>
      </c>
      <c r="E9" s="24">
        <f>'Plan Fase 2'!Y22</f>
        <v>876.00000000000011</v>
      </c>
      <c r="F9" s="24">
        <f>'Plan Fase 2'!Z22</f>
        <v>876.00000000000011</v>
      </c>
      <c r="G9" s="24">
        <f>'Plan Fase 2'!AA22</f>
        <v>876.00000000000011</v>
      </c>
      <c r="H9" s="25">
        <f>'Plan Fase 2'!AB22</f>
        <v>876.00000000000011</v>
      </c>
      <c r="I9" s="26">
        <f>SUM(C9:H9)</f>
        <v>6132</v>
      </c>
    </row>
    <row r="10" spans="2:9" x14ac:dyDescent="0.35">
      <c r="B10" s="22" t="s">
        <v>11</v>
      </c>
      <c r="C10" s="23">
        <f>'Plan Fase 1'!AB98</f>
        <v>1752</v>
      </c>
      <c r="D10" s="24">
        <f>'Plan Fase 2'!X31</f>
        <v>876</v>
      </c>
      <c r="E10" s="24">
        <f>'Plan Fase 2'!Y31</f>
        <v>876</v>
      </c>
      <c r="F10" s="24">
        <f>'Plan Fase 2'!Z31</f>
        <v>876.00000000000011</v>
      </c>
      <c r="G10" s="24">
        <f>'Plan Fase 2'!AA31</f>
        <v>876.00000000000011</v>
      </c>
      <c r="H10" s="25">
        <f>'Plan Fase 2'!AB31</f>
        <v>876.00000000000011</v>
      </c>
      <c r="I10" s="26">
        <f>SUM(C10:H10)</f>
        <v>6132</v>
      </c>
    </row>
    <row r="11" spans="2:9" x14ac:dyDescent="0.35">
      <c r="B11" s="22" t="s">
        <v>48</v>
      </c>
      <c r="C11" s="23">
        <f>'Plan Fase 1'!AB129</f>
        <v>7008</v>
      </c>
      <c r="D11" s="24">
        <f>'Plan Fase 2'!X40</f>
        <v>3504</v>
      </c>
      <c r="E11" s="24">
        <f>'Plan Fase 2'!Y40</f>
        <v>3504</v>
      </c>
      <c r="F11" s="24">
        <f>'Plan Fase 2'!Z40</f>
        <v>3504.0000000000005</v>
      </c>
      <c r="G11" s="24">
        <f>'Plan Fase 2'!AA40</f>
        <v>3504.0000000000005</v>
      </c>
      <c r="H11" s="25">
        <f>'Plan Fase 2'!AB40</f>
        <v>3504.0000000000005</v>
      </c>
      <c r="I11" s="26">
        <f>SUM(C11:H11)</f>
        <v>24528</v>
      </c>
    </row>
    <row r="12" spans="2:9" ht="16" thickBot="1" x14ac:dyDescent="0.4">
      <c r="B12" s="165" t="s">
        <v>49</v>
      </c>
      <c r="C12" s="27">
        <f>'Plan Fase 1'!AB161</f>
        <v>13432</v>
      </c>
      <c r="D12" s="28">
        <f>'Plan Fase 2'!X49</f>
        <v>7008</v>
      </c>
      <c r="E12" s="28">
        <f>'Plan Fase 2'!Y49</f>
        <v>7008</v>
      </c>
      <c r="F12" s="28">
        <f>'Plan Fase 2'!Z49</f>
        <v>7008</v>
      </c>
      <c r="G12" s="28">
        <f>'Plan Fase 2'!AA49</f>
        <v>7008</v>
      </c>
      <c r="H12" s="29">
        <f>'Plan Fase 2'!AB49</f>
        <v>7008</v>
      </c>
      <c r="I12" s="166">
        <f>SUM(C12:H12)</f>
        <v>48472</v>
      </c>
    </row>
    <row r="13" spans="2:9" s="13" customFormat="1" ht="16" thickBot="1" x14ac:dyDescent="0.4">
      <c r="B13" s="180" t="s">
        <v>16</v>
      </c>
      <c r="C13" s="186">
        <f>SUM(C9:C12)</f>
        <v>23944</v>
      </c>
      <c r="D13" s="183">
        <f t="shared" ref="D13:H13" si="0">SUM(D9:D12)</f>
        <v>12264</v>
      </c>
      <c r="E13" s="183">
        <f t="shared" si="0"/>
        <v>12264</v>
      </c>
      <c r="F13" s="183">
        <f t="shared" si="0"/>
        <v>12264</v>
      </c>
      <c r="G13" s="183">
        <f t="shared" si="0"/>
        <v>12264</v>
      </c>
      <c r="H13" s="184">
        <f t="shared" si="0"/>
        <v>12264</v>
      </c>
      <c r="I13" s="185">
        <f>SUM(C13:H13)</f>
        <v>85264</v>
      </c>
    </row>
  </sheetData>
  <mergeCells count="1">
    <mergeCell ref="C7:H7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819C-077F-964F-9A30-FA0C7D0E9DFC}">
  <dimension ref="B4:I14"/>
  <sheetViews>
    <sheetView zoomScale="130" zoomScaleNormal="130" workbookViewId="0">
      <selection activeCell="G18" sqref="G18"/>
    </sheetView>
  </sheetViews>
  <sheetFormatPr defaultColWidth="10.6640625" defaultRowHeight="15.5" x14ac:dyDescent="0.35"/>
  <cols>
    <col min="2" max="2" width="19" customWidth="1"/>
    <col min="3" max="3" width="11.1640625" bestFit="1" customWidth="1"/>
  </cols>
  <sheetData>
    <row r="4" spans="2:9" ht="16" thickBot="1" x14ac:dyDescent="0.4"/>
    <row r="5" spans="2:9" ht="16" thickBot="1" x14ac:dyDescent="0.4">
      <c r="B5" s="15" t="s">
        <v>15</v>
      </c>
      <c r="C5" s="80">
        <v>1752</v>
      </c>
    </row>
    <row r="6" spans="2:9" ht="16" thickBot="1" x14ac:dyDescent="0.4"/>
    <row r="7" spans="2:9" ht="16" thickBot="1" x14ac:dyDescent="0.4">
      <c r="B7" s="16"/>
      <c r="C7" s="482" t="s">
        <v>51</v>
      </c>
      <c r="D7" s="483"/>
      <c r="E7" s="483"/>
      <c r="F7" s="483"/>
      <c r="G7" s="483"/>
      <c r="H7" s="484"/>
      <c r="I7" s="16"/>
    </row>
    <row r="8" spans="2:9" s="13" customFormat="1" x14ac:dyDescent="0.35">
      <c r="B8" s="177" t="s">
        <v>8</v>
      </c>
      <c r="C8" s="18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20" t="s">
        <v>7</v>
      </c>
      <c r="I8" s="21" t="s">
        <v>10</v>
      </c>
    </row>
    <row r="9" spans="2:9" x14ac:dyDescent="0.35">
      <c r="B9" s="178" t="s">
        <v>12</v>
      </c>
      <c r="C9" s="173">
        <f>'Riepilogo Impegni OP'!C9/'Riepilogo Impegni OP'!$C$5</f>
        <v>1</v>
      </c>
      <c r="D9" s="174">
        <f>'Riepilogo Impegni OP'!D9/'Riepilogo Impegni OP'!$C$5</f>
        <v>0.50000000000000011</v>
      </c>
      <c r="E9" s="174">
        <f>'Riepilogo Impegni OP'!E9/'Riepilogo Impegni OP'!$C$5</f>
        <v>0.50000000000000011</v>
      </c>
      <c r="F9" s="174">
        <f>'Riepilogo Impegni OP'!F9/'Riepilogo Impegni OP'!$C$5</f>
        <v>0.50000000000000011</v>
      </c>
      <c r="G9" s="174">
        <f>'Riepilogo Impegni OP'!G9/'Riepilogo Impegni OP'!$C$5</f>
        <v>0.50000000000000011</v>
      </c>
      <c r="H9" s="175">
        <f>'Riepilogo Impegni OP'!H9/'Riepilogo Impegni OP'!$C$5</f>
        <v>0.50000000000000011</v>
      </c>
      <c r="I9" s="167">
        <f>SUM(C9:H9)</f>
        <v>3.5</v>
      </c>
    </row>
    <row r="10" spans="2:9" x14ac:dyDescent="0.35">
      <c r="B10" s="178" t="s">
        <v>11</v>
      </c>
      <c r="C10" s="173">
        <f>'Riepilogo Impegni OP'!C10/'Riepilogo Impegni OP'!$C$5</f>
        <v>1</v>
      </c>
      <c r="D10" s="174">
        <f>'Riepilogo Impegni OP'!D10/'Riepilogo Impegni OP'!$C$5</f>
        <v>0.5</v>
      </c>
      <c r="E10" s="174">
        <f>'Riepilogo Impegni OP'!E10/'Riepilogo Impegni OP'!$C$5</f>
        <v>0.5</v>
      </c>
      <c r="F10" s="174">
        <f>'Riepilogo Impegni OP'!F10/'Riepilogo Impegni OP'!$C$5</f>
        <v>0.50000000000000011</v>
      </c>
      <c r="G10" s="174">
        <f>'Riepilogo Impegni OP'!G10/'Riepilogo Impegni OP'!$C$5</f>
        <v>0.50000000000000011</v>
      </c>
      <c r="H10" s="175">
        <f>'Riepilogo Impegni OP'!H10/'Riepilogo Impegni OP'!$C$5</f>
        <v>0.50000000000000011</v>
      </c>
      <c r="I10" s="167">
        <f>SUM(C10:H10)</f>
        <v>3.5</v>
      </c>
    </row>
    <row r="11" spans="2:9" x14ac:dyDescent="0.35">
      <c r="B11" s="178" t="s">
        <v>48</v>
      </c>
      <c r="C11" s="173">
        <f>'Riepilogo Impegni OP'!C11/'Riepilogo Impegni OP'!$C$5</f>
        <v>4</v>
      </c>
      <c r="D11" s="174">
        <f>'Riepilogo Impegni OP'!D11/'Riepilogo Impegni OP'!$C$5</f>
        <v>2</v>
      </c>
      <c r="E11" s="174">
        <f>'Riepilogo Impegni OP'!E11/'Riepilogo Impegni OP'!$C$5</f>
        <v>2</v>
      </c>
      <c r="F11" s="174">
        <f>'Riepilogo Impegni OP'!F11/'Riepilogo Impegni OP'!$C$5</f>
        <v>2.0000000000000004</v>
      </c>
      <c r="G11" s="174">
        <f>'Riepilogo Impegni OP'!G11/'Riepilogo Impegni OP'!$C$5</f>
        <v>2.0000000000000004</v>
      </c>
      <c r="H11" s="175">
        <f>'Riepilogo Impegni OP'!H11/'Riepilogo Impegni OP'!$C$5</f>
        <v>2.0000000000000004</v>
      </c>
      <c r="I11" s="167">
        <f>SUM(C11:H11)</f>
        <v>14</v>
      </c>
    </row>
    <row r="12" spans="2:9" ht="16" thickBot="1" x14ac:dyDescent="0.4">
      <c r="B12" s="179" t="s">
        <v>49</v>
      </c>
      <c r="C12" s="173">
        <f>'Riepilogo Impegni OP'!C12/'Riepilogo Impegni OP'!$C$5</f>
        <v>7.666666666666667</v>
      </c>
      <c r="D12" s="174">
        <f>'Riepilogo Impegni OP'!D12/'Riepilogo Impegni OP'!$C$5</f>
        <v>4</v>
      </c>
      <c r="E12" s="174">
        <f>'Riepilogo Impegni OP'!E12/'Riepilogo Impegni OP'!$C$5</f>
        <v>4</v>
      </c>
      <c r="F12" s="174">
        <f>'Riepilogo Impegni OP'!F12/'Riepilogo Impegni OP'!$C$5</f>
        <v>4</v>
      </c>
      <c r="G12" s="174">
        <f>'Riepilogo Impegni OP'!G12/'Riepilogo Impegni OP'!$C$5</f>
        <v>4</v>
      </c>
      <c r="H12" s="175">
        <f>'Riepilogo Impegni OP'!H12/'Riepilogo Impegni OP'!$C$5</f>
        <v>4</v>
      </c>
      <c r="I12" s="169">
        <f>SUM(C12:H12)</f>
        <v>27.666666666666668</v>
      </c>
    </row>
    <row r="13" spans="2:9" s="13" customFormat="1" ht="16" thickBot="1" x14ac:dyDescent="0.4">
      <c r="B13" s="180" t="s">
        <v>13</v>
      </c>
      <c r="C13" s="176">
        <f>SUM(C9:C12)</f>
        <v>13.666666666666668</v>
      </c>
      <c r="D13" s="181">
        <f t="shared" ref="D13:H13" si="0">SUM(D9:D12)</f>
        <v>7</v>
      </c>
      <c r="E13" s="181">
        <f t="shared" si="0"/>
        <v>7</v>
      </c>
      <c r="F13" s="181">
        <f t="shared" si="0"/>
        <v>7.0000000000000009</v>
      </c>
      <c r="G13" s="181">
        <f t="shared" si="0"/>
        <v>7.0000000000000009</v>
      </c>
      <c r="H13" s="170">
        <f t="shared" si="0"/>
        <v>7.0000000000000009</v>
      </c>
      <c r="I13" s="182">
        <f>SUM(C13:H13)</f>
        <v>48.666666666666671</v>
      </c>
    </row>
    <row r="14" spans="2:9" ht="16" thickBot="1" x14ac:dyDescent="0.4">
      <c r="B14" s="168" t="s">
        <v>50</v>
      </c>
      <c r="C14" s="14">
        <v>14</v>
      </c>
      <c r="D14" s="171">
        <v>8</v>
      </c>
      <c r="E14" s="171">
        <v>8</v>
      </c>
      <c r="F14" s="171">
        <v>8</v>
      </c>
      <c r="G14" s="171">
        <v>8</v>
      </c>
      <c r="H14" s="172">
        <v>8</v>
      </c>
    </row>
  </sheetData>
  <mergeCells count="1">
    <mergeCell ref="C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4409-3BE4-EC4B-A669-821DA9306DB7}">
  <dimension ref="B1:G16"/>
  <sheetViews>
    <sheetView zoomScale="150" zoomScaleNormal="150" workbookViewId="0">
      <selection activeCell="C3" sqref="C3"/>
    </sheetView>
  </sheetViews>
  <sheetFormatPr defaultColWidth="10.6640625" defaultRowHeight="15.5" x14ac:dyDescent="0.35"/>
  <cols>
    <col min="2" max="2" width="41.33203125" customWidth="1"/>
    <col min="3" max="3" width="13" bestFit="1" customWidth="1"/>
    <col min="4" max="6" width="12" bestFit="1" customWidth="1"/>
  </cols>
  <sheetData>
    <row r="1" spans="2:7" ht="16" thickBot="1" x14ac:dyDescent="0.4"/>
    <row r="2" spans="2:7" s="188" customFormat="1" ht="16" thickBot="1" x14ac:dyDescent="0.4">
      <c r="B2" s="205" t="s">
        <v>56</v>
      </c>
      <c r="C2" s="201" t="s">
        <v>12</v>
      </c>
      <c r="D2" s="200" t="s">
        <v>11</v>
      </c>
      <c r="E2" s="200" t="s">
        <v>48</v>
      </c>
      <c r="F2" s="200" t="s">
        <v>49</v>
      </c>
    </row>
    <row r="3" spans="2:7" x14ac:dyDescent="0.35">
      <c r="B3" s="206" t="s">
        <v>52</v>
      </c>
      <c r="C3" s="202">
        <f>(2493.21+1000)*13</f>
        <v>45411.73</v>
      </c>
      <c r="D3" s="199">
        <f>(2434.88+500)*13</f>
        <v>38153.440000000002</v>
      </c>
      <c r="E3" s="199">
        <f>(2181+200)*13</f>
        <v>30953</v>
      </c>
      <c r="F3" s="199">
        <f>2032.93*13</f>
        <v>26428.09</v>
      </c>
    </row>
    <row r="4" spans="2:7" x14ac:dyDescent="0.35">
      <c r="B4" s="207" t="s">
        <v>53</v>
      </c>
      <c r="C4" s="203">
        <f>C3/13.5</f>
        <v>3363.8318518518522</v>
      </c>
      <c r="D4" s="192">
        <f>D3/13.5</f>
        <v>2826.1807407407409</v>
      </c>
      <c r="E4" s="192">
        <f>E3/13.5</f>
        <v>2292.8148148148148</v>
      </c>
      <c r="F4" s="192">
        <f>F3/13.5</f>
        <v>1957.6362962962962</v>
      </c>
    </row>
    <row r="5" spans="2:7" x14ac:dyDescent="0.35">
      <c r="B5" s="207" t="s">
        <v>54</v>
      </c>
      <c r="C5" s="203">
        <f>C3*0.36*2/3</f>
        <v>10898.815200000001</v>
      </c>
      <c r="D5" s="192">
        <f>D3*0.36*2/3</f>
        <v>9156.8256000000001</v>
      </c>
      <c r="E5" s="192">
        <f>E3*0.36*2/3</f>
        <v>7428.72</v>
      </c>
      <c r="F5" s="192">
        <f>F3*0.36*2/3</f>
        <v>6342.7416000000003</v>
      </c>
    </row>
    <row r="6" spans="2:7" ht="16" thickBot="1" x14ac:dyDescent="0.4">
      <c r="B6" s="208" t="s">
        <v>55</v>
      </c>
      <c r="C6" s="204">
        <f>C3+C4+C5</f>
        <v>59674.377051851858</v>
      </c>
      <c r="D6" s="198">
        <f>D3+D4+D5</f>
        <v>50136.446340740746</v>
      </c>
      <c r="E6" s="198">
        <f>E3+E4+E5</f>
        <v>40674.534814814819</v>
      </c>
      <c r="F6" s="198">
        <f>F3+F4+F5</f>
        <v>34728.467896296293</v>
      </c>
    </row>
    <row r="7" spans="2:7" ht="16" thickBot="1" x14ac:dyDescent="0.4">
      <c r="B7" s="187"/>
      <c r="C7" s="194"/>
      <c r="D7" s="191"/>
      <c r="E7" s="191"/>
    </row>
    <row r="8" spans="2:7" ht="16" thickBot="1" x14ac:dyDescent="0.4">
      <c r="B8" s="15" t="s">
        <v>67</v>
      </c>
      <c r="C8" s="221">
        <v>0.2</v>
      </c>
      <c r="D8" s="194" t="s">
        <v>61</v>
      </c>
      <c r="E8" s="191"/>
    </row>
    <row r="9" spans="2:7" ht="16" thickBot="1" x14ac:dyDescent="0.4">
      <c r="B9" s="187"/>
      <c r="C9" s="194"/>
      <c r="D9" s="191"/>
      <c r="E9" s="191"/>
    </row>
    <row r="10" spans="2:7" s="188" customFormat="1" ht="16" thickBot="1" x14ac:dyDescent="0.4">
      <c r="B10" s="205" t="s">
        <v>62</v>
      </c>
      <c r="C10" s="215" t="s">
        <v>12</v>
      </c>
      <c r="D10" s="216" t="s">
        <v>11</v>
      </c>
      <c r="E10" s="216" t="s">
        <v>48</v>
      </c>
      <c r="F10" s="200" t="s">
        <v>49</v>
      </c>
    </row>
    <row r="11" spans="2:7" ht="16" thickBot="1" x14ac:dyDescent="0.4">
      <c r="B11" s="217" t="s">
        <v>63</v>
      </c>
      <c r="C11" s="222">
        <f>20*12+2*500</f>
        <v>1240</v>
      </c>
      <c r="D11" s="223">
        <f>20*12+2*1000</f>
        <v>2240</v>
      </c>
      <c r="E11" s="223">
        <f>20*12+2*1200</f>
        <v>2640</v>
      </c>
      <c r="F11" s="224">
        <f>20*12+2*1200</f>
        <v>2640</v>
      </c>
      <c r="G11" s="187" t="s">
        <v>87</v>
      </c>
    </row>
    <row r="12" spans="2:7" ht="16" thickBot="1" x14ac:dyDescent="0.4"/>
    <row r="13" spans="2:7" ht="16" thickBot="1" x14ac:dyDescent="0.4">
      <c r="B13" s="15" t="s">
        <v>119</v>
      </c>
      <c r="C13" s="221">
        <v>0.12</v>
      </c>
      <c r="D13" s="194" t="s">
        <v>68</v>
      </c>
      <c r="E13" s="191"/>
    </row>
    <row r="14" spans="2:7" ht="16" thickBot="1" x14ac:dyDescent="0.4"/>
    <row r="15" spans="2:7" x14ac:dyDescent="0.35">
      <c r="B15" s="272" t="s">
        <v>100</v>
      </c>
      <c r="C15" s="284">
        <v>0.24</v>
      </c>
    </row>
    <row r="16" spans="2:7" ht="16" thickBot="1" x14ac:dyDescent="0.4">
      <c r="B16" s="196" t="s">
        <v>101</v>
      </c>
      <c r="C16" s="282">
        <v>4.82E-2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7F17-9878-8F4B-9F64-FABC11FA01C4}">
  <dimension ref="B2:D13"/>
  <sheetViews>
    <sheetView zoomScale="160" zoomScaleNormal="160" workbookViewId="0">
      <selection activeCell="F9" sqref="F9"/>
    </sheetView>
  </sheetViews>
  <sheetFormatPr defaultColWidth="10.6640625" defaultRowHeight="15.5" x14ac:dyDescent="0.35"/>
  <cols>
    <col min="2" max="2" width="27.5" customWidth="1"/>
    <col min="3" max="3" width="13" bestFit="1" customWidth="1"/>
    <col min="4" max="4" width="13.1640625" customWidth="1"/>
  </cols>
  <sheetData>
    <row r="2" spans="2:4" ht="16" thickBot="1" x14ac:dyDescent="0.4"/>
    <row r="3" spans="2:4" ht="16" thickBot="1" x14ac:dyDescent="0.4">
      <c r="B3" s="15" t="s">
        <v>65</v>
      </c>
      <c r="C3" s="226" t="s">
        <v>58</v>
      </c>
    </row>
    <row r="4" spans="2:4" x14ac:dyDescent="0.35">
      <c r="B4" s="225" t="s">
        <v>92</v>
      </c>
      <c r="C4" s="214">
        <f>'Riepilogo Impegni AP'!C9*'Costi Base'!C6+'Riepilogo Impegni AP'!C10*'Costi Base'!D6+'Riepilogo Impegni AP'!C11*'Costi Base'!E6+'Riepilogo Impegni AP'!C12*'Costi Base'!F6</f>
        <v>538760.54985679011</v>
      </c>
    </row>
    <row r="5" spans="2:4" x14ac:dyDescent="0.35">
      <c r="B5" s="189" t="s">
        <v>59</v>
      </c>
      <c r="C5" s="192">
        <f>'Costi Base'!C8*'Costi Anno 0'!C4</f>
        <v>107752.10997135803</v>
      </c>
    </row>
    <row r="6" spans="2:4" x14ac:dyDescent="0.35">
      <c r="B6" s="189" t="s">
        <v>93</v>
      </c>
      <c r="C6" s="192">
        <f>'Riepilogo Impegni AP'!C9*'Costi Base'!C11+'Riepilogo Impegni AP'!C10*'Costi Base'!D11+'Riepilogo Impegni AP'!C11*'Costi Base'!E11+'Riepilogo Impegni AP'!C12*'Costi Base'!F11</f>
        <v>34280</v>
      </c>
    </row>
    <row r="7" spans="2:4" x14ac:dyDescent="0.35">
      <c r="B7" s="189" t="s">
        <v>64</v>
      </c>
      <c r="C7" s="211">
        <v>20000</v>
      </c>
      <c r="D7" s="210"/>
    </row>
    <row r="8" spans="2:4" x14ac:dyDescent="0.35">
      <c r="B8" s="190" t="s">
        <v>94</v>
      </c>
      <c r="C8" s="193">
        <f>SUM(C4:C7)</f>
        <v>700792.65982814808</v>
      </c>
    </row>
    <row r="9" spans="2:4" x14ac:dyDescent="0.35">
      <c r="B9" s="190" t="s">
        <v>96</v>
      </c>
      <c r="C9" s="193">
        <f>'Costi Base'!C13*C8</f>
        <v>84095.119179377769</v>
      </c>
      <c r="D9" s="220" t="s">
        <v>90</v>
      </c>
    </row>
    <row r="10" spans="2:4" x14ac:dyDescent="0.35">
      <c r="B10" s="190" t="s">
        <v>95</v>
      </c>
      <c r="C10" s="193">
        <f>C8+C9</f>
        <v>784887.77900752588</v>
      </c>
    </row>
    <row r="11" spans="2:4" x14ac:dyDescent="0.35">
      <c r="B11" s="190" t="s">
        <v>97</v>
      </c>
      <c r="C11" s="193">
        <f>'Costi Base'!C$13*C10</f>
        <v>94186.533480903105</v>
      </c>
      <c r="D11" s="220" t="s">
        <v>99</v>
      </c>
    </row>
    <row r="12" spans="2:4" ht="16" thickBot="1" x14ac:dyDescent="0.4">
      <c r="B12" s="197" t="s">
        <v>98</v>
      </c>
      <c r="C12" s="198">
        <f>C10/5</f>
        <v>156977.55580150516</v>
      </c>
      <c r="D12" s="220" t="s">
        <v>91</v>
      </c>
    </row>
    <row r="13" spans="2:4" x14ac:dyDescent="0.35">
      <c r="C13" s="2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8E64-6178-B043-BC23-9983DBF9632E}">
  <dimension ref="B2:K32"/>
  <sheetViews>
    <sheetView zoomScale="140" zoomScaleNormal="140" workbookViewId="0">
      <selection activeCell="C13" sqref="C13"/>
    </sheetView>
  </sheetViews>
  <sheetFormatPr defaultColWidth="10.6640625" defaultRowHeight="15.5" x14ac:dyDescent="0.35"/>
  <cols>
    <col min="2" max="2" width="25" customWidth="1"/>
    <col min="3" max="7" width="13.1640625" bestFit="1" customWidth="1"/>
    <col min="8" max="8" width="15.5" customWidth="1"/>
  </cols>
  <sheetData>
    <row r="2" spans="2:8" ht="16" thickBot="1" x14ac:dyDescent="0.4"/>
    <row r="3" spans="2:8" ht="16" thickBot="1" x14ac:dyDescent="0.4">
      <c r="B3" s="218" t="s">
        <v>69</v>
      </c>
      <c r="C3" s="230" t="s">
        <v>3</v>
      </c>
      <c r="D3" s="230" t="s">
        <v>4</v>
      </c>
      <c r="E3" s="230" t="s">
        <v>5</v>
      </c>
      <c r="F3" s="230" t="s">
        <v>6</v>
      </c>
      <c r="G3" s="230" t="s">
        <v>7</v>
      </c>
      <c r="H3" s="230" t="s">
        <v>9</v>
      </c>
    </row>
    <row r="4" spans="2:8" x14ac:dyDescent="0.35">
      <c r="B4" s="213" t="s">
        <v>60</v>
      </c>
      <c r="C4" s="263">
        <f>'Riepilogo Impegni AP'!D9*'Costi Base'!$C6+'Riepilogo Impegni AP'!D10*'Costi Base'!$D6+'Riepilogo Impegni AP'!D11*'Costi Base'!$E6+'Riepilogo Impegni AP'!D12*'Costi Base'!$F6</f>
        <v>275168.35291111108</v>
      </c>
      <c r="D4" s="263">
        <f>'Riepilogo Impegni AP'!E9*'Costi Base'!$C6+'Riepilogo Impegni AP'!E10*'Costi Base'!$D6+'Riepilogo Impegni AP'!E11*'Costi Base'!$E6+'Riepilogo Impegni AP'!E12*'Costi Base'!$F6</f>
        <v>275168.35291111108</v>
      </c>
      <c r="E4" s="263">
        <f>'Riepilogo Impegni AP'!F9*'Costi Base'!$C6+'Riepilogo Impegni AP'!F10*'Costi Base'!$D6+'Riepilogo Impegni AP'!F11*'Costi Base'!$E6+'Riepilogo Impegni AP'!F12*'Costi Base'!$F6</f>
        <v>275168.35291111114</v>
      </c>
      <c r="F4" s="263">
        <f>'Riepilogo Impegni AP'!G9*'Costi Base'!$C6+'Riepilogo Impegni AP'!G10*'Costi Base'!$D6+'Riepilogo Impegni AP'!G11*'Costi Base'!$E6+'Riepilogo Impegni AP'!G12*'Costi Base'!$F6</f>
        <v>275168.35291111114</v>
      </c>
      <c r="G4" s="263">
        <f>'Riepilogo Impegni AP'!H9*'Costi Base'!$C6+'Riepilogo Impegni AP'!H10*'Costi Base'!$D6+'Riepilogo Impegni AP'!H11*'Costi Base'!$E6+'Riepilogo Impegni AP'!H12*'Costi Base'!$F6</f>
        <v>275168.35291111114</v>
      </c>
      <c r="H4" s="231">
        <f>SUM(C4:G4)</f>
        <v>1375841.7645555558</v>
      </c>
    </row>
    <row r="5" spans="2:8" x14ac:dyDescent="0.35">
      <c r="B5" s="207" t="s">
        <v>59</v>
      </c>
      <c r="C5" s="264">
        <f>'Costi Base'!$C8*'Costi Anni 1-5'!C4</f>
        <v>55033.670582222221</v>
      </c>
      <c r="D5" s="264">
        <f>'Costi Base'!$C8*'Costi Anni 1-5'!D4</f>
        <v>55033.670582222221</v>
      </c>
      <c r="E5" s="264">
        <f>'Costi Base'!$C8*'Costi Anni 1-5'!E4</f>
        <v>55033.670582222228</v>
      </c>
      <c r="F5" s="264">
        <f>'Costi Base'!$C8*'Costi Anni 1-5'!F4</f>
        <v>55033.670582222228</v>
      </c>
      <c r="G5" s="264">
        <f>'Costi Base'!$C8*'Costi Anni 1-5'!G4</f>
        <v>55033.670582222228</v>
      </c>
      <c r="H5" s="232">
        <f t="shared" ref="H5:H7" si="0">SUM(C5:G5)</f>
        <v>275168.35291111114</v>
      </c>
    </row>
    <row r="6" spans="2:8" x14ac:dyDescent="0.35">
      <c r="B6" s="207" t="s">
        <v>77</v>
      </c>
      <c r="C6" s="264">
        <f>'Riepilogo Impegni AP'!D9*'Costi Base'!$C11+'Riepilogo Impegni AP'!D10*'Costi Base'!$D11+'Riepilogo Impegni AP'!D11*'Costi Base'!$E11+'Riepilogo Impegni AP'!D12*'Costi Base'!$F11</f>
        <v>17580</v>
      </c>
      <c r="D6" s="264">
        <f>'Riepilogo Impegni AP'!E9*'Costi Base'!$C11+'Riepilogo Impegni AP'!E10*'Costi Base'!$D11+'Riepilogo Impegni AP'!E11*'Costi Base'!$E11+'Riepilogo Impegni AP'!E12*'Costi Base'!$F11</f>
        <v>17580</v>
      </c>
      <c r="E6" s="264">
        <f>'Riepilogo Impegni AP'!F9*'Costi Base'!$C11+'Riepilogo Impegni AP'!F10*'Costi Base'!$D11+'Riepilogo Impegni AP'!F11*'Costi Base'!$E11+'Riepilogo Impegni AP'!F12*'Costi Base'!$F11</f>
        <v>17580</v>
      </c>
      <c r="F6" s="264">
        <f>'Riepilogo Impegni AP'!G9*'Costi Base'!$C11+'Riepilogo Impegni AP'!G10*'Costi Base'!$D11+'Riepilogo Impegni AP'!G11*'Costi Base'!$E11+'Riepilogo Impegni AP'!G12*'Costi Base'!$F11</f>
        <v>17580</v>
      </c>
      <c r="G6" s="264">
        <f>'Riepilogo Impegni AP'!H9*'Costi Base'!$C11+'Riepilogo Impegni AP'!H10*'Costi Base'!$D11+'Riepilogo Impegni AP'!H11*'Costi Base'!$E11+'Riepilogo Impegni AP'!H12*'Costi Base'!$F11</f>
        <v>17580</v>
      </c>
      <c r="H6" s="232">
        <f t="shared" si="0"/>
        <v>87900</v>
      </c>
    </row>
    <row r="7" spans="2:8" x14ac:dyDescent="0.35">
      <c r="B7" s="239" t="s">
        <v>57</v>
      </c>
      <c r="C7" s="265">
        <v>15000</v>
      </c>
      <c r="D7" s="265">
        <v>12000</v>
      </c>
      <c r="E7" s="265">
        <v>10000</v>
      </c>
      <c r="F7" s="265">
        <v>8000</v>
      </c>
      <c r="G7" s="265">
        <v>8000</v>
      </c>
      <c r="H7" s="243">
        <f>SUM(C7:G7)</f>
        <v>53000</v>
      </c>
    </row>
    <row r="8" spans="2:8" ht="16" thickBot="1" x14ac:dyDescent="0.4">
      <c r="B8" s="239" t="s">
        <v>78</v>
      </c>
      <c r="C8" s="265">
        <f>'Costi Anno 0'!$C12</f>
        <v>156977.55580150516</v>
      </c>
      <c r="D8" s="265">
        <f>'Costi Anno 0'!$C12</f>
        <v>156977.55580150516</v>
      </c>
      <c r="E8" s="265">
        <f>'Costi Anno 0'!$C12</f>
        <v>156977.55580150516</v>
      </c>
      <c r="F8" s="265">
        <f>'Costi Anno 0'!$C12</f>
        <v>156977.55580150516</v>
      </c>
      <c r="G8" s="265">
        <f>'Costi Anno 0'!$C12</f>
        <v>156977.55580150516</v>
      </c>
      <c r="H8" s="233">
        <f t="shared" ref="H8" si="1">SUM(C8:G8)</f>
        <v>784887.77900752588</v>
      </c>
    </row>
    <row r="9" spans="2:8" ht="16" thickBot="1" x14ac:dyDescent="0.4">
      <c r="B9" s="261" t="s">
        <v>66</v>
      </c>
      <c r="C9" s="262">
        <f>SUM(C4:C8)</f>
        <v>519759.57929483848</v>
      </c>
      <c r="D9" s="262">
        <f t="shared" ref="D9:G9" si="2">SUM(D4:D8)</f>
        <v>516759.57929483848</v>
      </c>
      <c r="E9" s="262">
        <f t="shared" si="2"/>
        <v>514759.57929483854</v>
      </c>
      <c r="F9" s="262">
        <f t="shared" si="2"/>
        <v>512759.57929483854</v>
      </c>
      <c r="G9" s="262">
        <f t="shared" si="2"/>
        <v>512759.57929483854</v>
      </c>
      <c r="H9" s="262">
        <f>SUM(H4:H8)</f>
        <v>2576797.8964741929</v>
      </c>
    </row>
    <row r="10" spans="2:8" ht="16" thickBot="1" x14ac:dyDescent="0.4">
      <c r="B10" s="261"/>
      <c r="C10" s="230" t="s">
        <v>3</v>
      </c>
      <c r="D10" s="230" t="s">
        <v>4</v>
      </c>
      <c r="E10" s="230" t="s">
        <v>5</v>
      </c>
      <c r="F10" s="230" t="s">
        <v>6</v>
      </c>
      <c r="G10" s="230" t="s">
        <v>7</v>
      </c>
      <c r="H10" s="230" t="s">
        <v>9</v>
      </c>
    </row>
    <row r="11" spans="2:8" s="1" customFormat="1" ht="16" thickBot="1" x14ac:dyDescent="0.4">
      <c r="B11" s="218" t="s">
        <v>79</v>
      </c>
      <c r="C11" s="234">
        <f>'Costi Anno 0'!C11</f>
        <v>94186.533480903105</v>
      </c>
      <c r="D11" s="234">
        <f>C11-$C13</f>
        <v>75349.226784722487</v>
      </c>
      <c r="E11" s="234">
        <f t="shared" ref="E11:G11" si="3">D11-$C13</f>
        <v>56511.920088541869</v>
      </c>
      <c r="F11" s="234">
        <f t="shared" si="3"/>
        <v>37674.613392361251</v>
      </c>
      <c r="G11" s="234">
        <f t="shared" si="3"/>
        <v>18837.306696180633</v>
      </c>
      <c r="H11" s="234">
        <f>SUM(C11:G11)</f>
        <v>282559.6004427094</v>
      </c>
    </row>
    <row r="12" spans="2:8" ht="16" thickBot="1" x14ac:dyDescent="0.4"/>
    <row r="13" spans="2:8" ht="16" thickBot="1" x14ac:dyDescent="0.4">
      <c r="B13" s="15" t="s">
        <v>89</v>
      </c>
      <c r="C13" s="219">
        <f>'Costi Base'!C13*'Costi Anno 0'!$C12</f>
        <v>18837.306696180618</v>
      </c>
    </row>
    <row r="32" spans="11:11" x14ac:dyDescent="0.35">
      <c r="K32" t="s">
        <v>24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4326-288A-F745-98A2-2263F23202FF}">
  <dimension ref="B2:H12"/>
  <sheetViews>
    <sheetView zoomScale="150" zoomScaleNormal="150" workbookViewId="0">
      <selection activeCell="G10" sqref="G10"/>
    </sheetView>
  </sheetViews>
  <sheetFormatPr defaultColWidth="10.6640625" defaultRowHeight="15.5" x14ac:dyDescent="0.35"/>
  <cols>
    <col min="2" max="2" width="21.83203125" customWidth="1"/>
    <col min="3" max="3" width="13" bestFit="1" customWidth="1"/>
    <col min="4" max="8" width="14.5" bestFit="1" customWidth="1"/>
  </cols>
  <sheetData>
    <row r="2" spans="2:8" ht="16" thickBot="1" x14ac:dyDescent="0.4"/>
    <row r="3" spans="2:8" ht="16" thickBot="1" x14ac:dyDescent="0.4">
      <c r="B3" s="218" t="s">
        <v>70</v>
      </c>
      <c r="C3" s="235" t="s">
        <v>3</v>
      </c>
      <c r="D3" s="226" t="s">
        <v>4</v>
      </c>
      <c r="E3" s="226" t="s">
        <v>5</v>
      </c>
      <c r="F3" s="226" t="s">
        <v>6</v>
      </c>
      <c r="G3" s="227" t="s">
        <v>7</v>
      </c>
      <c r="H3" s="230" t="s">
        <v>9</v>
      </c>
    </row>
    <row r="4" spans="2:8" x14ac:dyDescent="0.35">
      <c r="B4" s="213" t="s">
        <v>71</v>
      </c>
      <c r="C4" s="328">
        <v>35000</v>
      </c>
      <c r="D4" s="329">
        <v>35000</v>
      </c>
      <c r="E4" s="329">
        <v>35000</v>
      </c>
      <c r="F4" s="329">
        <v>35000</v>
      </c>
      <c r="G4" s="330">
        <v>35000</v>
      </c>
      <c r="H4" s="231"/>
    </row>
    <row r="5" spans="2:8" x14ac:dyDescent="0.35">
      <c r="B5" s="248" t="s">
        <v>88</v>
      </c>
      <c r="C5" s="249">
        <v>10</v>
      </c>
      <c r="D5" s="250">
        <v>15</v>
      </c>
      <c r="E5" s="250">
        <v>22</v>
      </c>
      <c r="F5" s="250">
        <v>30</v>
      </c>
      <c r="G5" s="251">
        <v>35</v>
      </c>
      <c r="H5" s="252">
        <f t="shared" ref="H5:H9" si="0">SUM(C5:G5)</f>
        <v>112</v>
      </c>
    </row>
    <row r="6" spans="2:8" x14ac:dyDescent="0.35">
      <c r="B6" s="207" t="s">
        <v>72</v>
      </c>
      <c r="C6" s="203">
        <f>C4*C5</f>
        <v>350000</v>
      </c>
      <c r="D6" s="192">
        <f t="shared" ref="D6:G6" si="1">D4*D5</f>
        <v>525000</v>
      </c>
      <c r="E6" s="192">
        <f t="shared" si="1"/>
        <v>770000</v>
      </c>
      <c r="F6" s="192">
        <f t="shared" si="1"/>
        <v>1050000</v>
      </c>
      <c r="G6" s="228">
        <f t="shared" si="1"/>
        <v>1225000</v>
      </c>
      <c r="H6" s="232">
        <f t="shared" si="0"/>
        <v>3920000</v>
      </c>
    </row>
    <row r="7" spans="2:8" ht="16" thickBot="1" x14ac:dyDescent="0.4">
      <c r="B7" s="239" t="s">
        <v>117</v>
      </c>
      <c r="C7" s="266">
        <v>4000</v>
      </c>
      <c r="D7" s="267">
        <v>4000</v>
      </c>
      <c r="E7" s="267">
        <v>3000</v>
      </c>
      <c r="F7" s="267">
        <v>3000</v>
      </c>
      <c r="G7" s="268">
        <v>3000</v>
      </c>
      <c r="H7" s="233"/>
    </row>
    <row r="8" spans="2:8" ht="16" thickBot="1" x14ac:dyDescent="0.4">
      <c r="B8" s="253" t="s">
        <v>73</v>
      </c>
      <c r="C8" s="254">
        <v>15</v>
      </c>
      <c r="D8" s="255">
        <v>30</v>
      </c>
      <c r="E8" s="255">
        <v>45</v>
      </c>
      <c r="F8" s="255">
        <v>68</v>
      </c>
      <c r="G8" s="256">
        <v>80</v>
      </c>
      <c r="H8" s="257">
        <f t="shared" ref="H8" si="2">SUM(C8:G8)</f>
        <v>238</v>
      </c>
    </row>
    <row r="9" spans="2:8" ht="16" thickBot="1" x14ac:dyDescent="0.4">
      <c r="B9" s="239" t="s">
        <v>74</v>
      </c>
      <c r="C9" s="237">
        <f>C7*C8</f>
        <v>60000</v>
      </c>
      <c r="D9" s="212">
        <f t="shared" ref="D9:G9" si="3">D7*D8</f>
        <v>120000</v>
      </c>
      <c r="E9" s="212">
        <f t="shared" si="3"/>
        <v>135000</v>
      </c>
      <c r="F9" s="212">
        <f t="shared" si="3"/>
        <v>204000</v>
      </c>
      <c r="G9" s="229">
        <f t="shared" si="3"/>
        <v>240000</v>
      </c>
      <c r="H9" s="233">
        <f t="shared" si="0"/>
        <v>759000</v>
      </c>
    </row>
    <row r="10" spans="2:8" ht="16" thickBot="1" x14ac:dyDescent="0.4">
      <c r="B10" s="218" t="s">
        <v>85</v>
      </c>
      <c r="C10" s="238">
        <f>C6+C9</f>
        <v>410000</v>
      </c>
      <c r="D10" s="238">
        <f t="shared" ref="D10:G10" si="4">D6+D9</f>
        <v>645000</v>
      </c>
      <c r="E10" s="238">
        <f t="shared" si="4"/>
        <v>905000</v>
      </c>
      <c r="F10" s="238">
        <f t="shared" si="4"/>
        <v>1254000</v>
      </c>
      <c r="G10" s="238">
        <f>G6+G9</f>
        <v>1465000</v>
      </c>
      <c r="H10" s="234">
        <f>H6+H9</f>
        <v>4679000</v>
      </c>
    </row>
    <row r="12" spans="2:8" x14ac:dyDescent="0.35">
      <c r="G12" s="2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7C52-96F8-BA41-9DC9-2264FE104CAD}">
  <dimension ref="B1:J43"/>
  <sheetViews>
    <sheetView tabSelected="1" topLeftCell="A13" zoomScale="120" zoomScaleNormal="120" workbookViewId="0">
      <selection activeCell="J23" sqref="J23"/>
    </sheetView>
  </sheetViews>
  <sheetFormatPr defaultColWidth="10.6640625" defaultRowHeight="15.5" x14ac:dyDescent="0.35"/>
  <cols>
    <col min="2" max="2" width="26.83203125" customWidth="1"/>
    <col min="3" max="3" width="14.6640625" bestFit="1" customWidth="1"/>
    <col min="4" max="5" width="14.5" bestFit="1" customWidth="1"/>
    <col min="6" max="8" width="15.5" bestFit="1" customWidth="1"/>
  </cols>
  <sheetData>
    <row r="1" spans="2:10" ht="16" thickBot="1" x14ac:dyDescent="0.4"/>
    <row r="2" spans="2:10" ht="16" thickBot="1" x14ac:dyDescent="0.4">
      <c r="B2" s="218"/>
      <c r="C2" s="235" t="s">
        <v>3</v>
      </c>
      <c r="D2" s="226" t="s">
        <v>4</v>
      </c>
      <c r="E2" s="226" t="s">
        <v>5</v>
      </c>
      <c r="F2" s="226" t="s">
        <v>6</v>
      </c>
      <c r="G2" s="227" t="s">
        <v>7</v>
      </c>
      <c r="H2" s="230" t="s">
        <v>9</v>
      </c>
    </row>
    <row r="3" spans="2:10" x14ac:dyDescent="0.35">
      <c r="B3" s="213" t="s">
        <v>75</v>
      </c>
      <c r="C3" s="236">
        <f>'Ricavi Anni 1-5'!C10</f>
        <v>410000</v>
      </c>
      <c r="D3" s="236">
        <f>'Ricavi Anni 1-5'!D10</f>
        <v>645000</v>
      </c>
      <c r="E3" s="236">
        <f>'Ricavi Anni 1-5'!E10</f>
        <v>905000</v>
      </c>
      <c r="F3" s="236">
        <f>'Ricavi Anni 1-5'!F10</f>
        <v>1254000</v>
      </c>
      <c r="G3" s="259">
        <f>'Ricavi Anni 1-5'!G10</f>
        <v>1465000</v>
      </c>
      <c r="H3" s="260">
        <f>SUM(C3:G3)</f>
        <v>4679000</v>
      </c>
      <c r="J3" s="209">
        <f>(G3-C3)/C3</f>
        <v>2.5731707317073171</v>
      </c>
    </row>
    <row r="4" spans="2:10" x14ac:dyDescent="0.35">
      <c r="B4" s="207" t="s">
        <v>76</v>
      </c>
      <c r="C4" s="203">
        <f>'Costi Anni 1-5'!C9</f>
        <v>519759.57929483848</v>
      </c>
      <c r="D4" s="192">
        <f>'Costi Anni 1-5'!D9</f>
        <v>516759.57929483848</v>
      </c>
      <c r="E4" s="192">
        <f>'Costi Anni 1-5'!E9</f>
        <v>514759.57929483854</v>
      </c>
      <c r="F4" s="192">
        <f>'Costi Anni 1-5'!F9</f>
        <v>512759.57929483854</v>
      </c>
      <c r="G4" s="228">
        <f>'Costi Anni 1-5'!G9</f>
        <v>512759.57929483854</v>
      </c>
      <c r="H4" s="232">
        <f t="shared" ref="H4" si="0">SUM(C4:G4)</f>
        <v>2576797.8964741924</v>
      </c>
      <c r="J4" s="209">
        <f t="shared" ref="J4:J11" si="1">(G4-C4)/C4</f>
        <v>-1.3467765249265615E-2</v>
      </c>
    </row>
    <row r="5" spans="2:10" x14ac:dyDescent="0.35">
      <c r="B5" s="239" t="s">
        <v>120</v>
      </c>
      <c r="C5" s="240">
        <f>'Costi Anni 1-5'!C11+MAX((C4-'Costi Anni 1-5'!C8)*'Costi Base'!$C$13,0)</f>
        <v>137720.37630010309</v>
      </c>
      <c r="D5" s="241">
        <f>'Costi Anni 1-5'!D11+MAX((D4-'Costi Anni 1-5'!D8)*'Costi Base'!$C$13,0)</f>
        <v>118523.06960392249</v>
      </c>
      <c r="E5" s="241">
        <f>'Costi Anni 1-5'!E11+MAX((E4-'Costi Anni 1-5'!E8)*'Costi Base'!$C$13,0)</f>
        <v>99445.762907741882</v>
      </c>
      <c r="F5" s="241">
        <f>'Costi Anni 1-5'!F11+MAX((F4-'Costi Anni 1-5'!F8)*'Costi Base'!$C$13,0)</f>
        <v>80368.45621156125</v>
      </c>
      <c r="G5" s="242">
        <f>'Costi Anni 1-5'!G11+MAX((G4-'Costi Anni 1-5'!G8)*'Costi Base'!$C$13,0)</f>
        <v>61531.149515380639</v>
      </c>
      <c r="H5" s="243">
        <f t="shared" ref="H5" si="2">SUM(C5:G5)</f>
        <v>497588.81453870935</v>
      </c>
      <c r="J5" s="209">
        <f t="shared" si="1"/>
        <v>-0.55321680663070782</v>
      </c>
    </row>
    <row r="6" spans="2:10" ht="16" thickBot="1" x14ac:dyDescent="0.4">
      <c r="B6" s="239" t="s">
        <v>86</v>
      </c>
      <c r="C6" s="240">
        <f>C4+C5</f>
        <v>657479.95559494151</v>
      </c>
      <c r="D6" s="241">
        <f t="shared" ref="D6:G6" si="3">D4+D5</f>
        <v>635282.64889876102</v>
      </c>
      <c r="E6" s="241">
        <f t="shared" si="3"/>
        <v>614205.34220258042</v>
      </c>
      <c r="F6" s="241">
        <f t="shared" si="3"/>
        <v>593128.03550639981</v>
      </c>
      <c r="G6" s="242">
        <f t="shared" si="3"/>
        <v>574290.72881021921</v>
      </c>
      <c r="H6" s="243">
        <f t="shared" ref="H6" si="4">SUM(C6:G6)</f>
        <v>3074386.7110129017</v>
      </c>
      <c r="J6" s="209">
        <f t="shared" si="1"/>
        <v>-0.12652739612334782</v>
      </c>
    </row>
    <row r="7" spans="2:10" x14ac:dyDescent="0.35">
      <c r="B7" s="275" t="s">
        <v>116</v>
      </c>
      <c r="C7" s="276">
        <f>C3-C6</f>
        <v>-247479.95559494151</v>
      </c>
      <c r="D7" s="277">
        <f t="shared" ref="D7:G7" si="5">D3-D6</f>
        <v>9717.351101238979</v>
      </c>
      <c r="E7" s="277">
        <f t="shared" si="5"/>
        <v>290794.65779741958</v>
      </c>
      <c r="F7" s="277">
        <f t="shared" si="5"/>
        <v>660871.96449360019</v>
      </c>
      <c r="G7" s="278">
        <f t="shared" si="5"/>
        <v>890709.27118978079</v>
      </c>
      <c r="H7" s="279">
        <f>SUM(C7:G7)</f>
        <v>1604613.288987098</v>
      </c>
      <c r="J7" s="209">
        <f t="shared" si="1"/>
        <v>-4.599116821596791</v>
      </c>
    </row>
    <row r="8" spans="2:10" ht="16" thickBot="1" x14ac:dyDescent="0.4">
      <c r="B8" s="280" t="s">
        <v>80</v>
      </c>
      <c r="C8" s="281">
        <f>C7/C3</f>
        <v>-0.60360964779254023</v>
      </c>
      <c r="D8" s="282">
        <f t="shared" ref="D8:G8" si="6">D7/D3</f>
        <v>1.5065660622075936E-2</v>
      </c>
      <c r="E8" s="282">
        <f t="shared" si="6"/>
        <v>0.32132006386455203</v>
      </c>
      <c r="F8" s="282">
        <f t="shared" si="6"/>
        <v>0.52701113595980875</v>
      </c>
      <c r="G8" s="283">
        <f t="shared" si="6"/>
        <v>0.60799267658005518</v>
      </c>
      <c r="H8" s="258">
        <f>H7/H3</f>
        <v>0.34293936503250655</v>
      </c>
      <c r="J8" s="209">
        <f t="shared" si="1"/>
        <v>-2.0072613630407403</v>
      </c>
    </row>
    <row r="9" spans="2:10" x14ac:dyDescent="0.35">
      <c r="B9" s="244" t="s">
        <v>102</v>
      </c>
      <c r="C9" s="245">
        <f>MAX(0,'Costi Base'!$C15*C7)</f>
        <v>0</v>
      </c>
      <c r="D9" s="246">
        <f>MAX(0,'Costi Base'!$C15*D7)</f>
        <v>2332.1642642973547</v>
      </c>
      <c r="E9" s="246">
        <f>MAX(0,'Costi Base'!$C15*E7)</f>
        <v>69790.717871380693</v>
      </c>
      <c r="F9" s="246">
        <f>MAX(0,'Costi Base'!$C15*F7)</f>
        <v>158609.27147846404</v>
      </c>
      <c r="G9" s="247">
        <f>MAX(0,'Costi Base'!$C15*G7)</f>
        <v>213770.22508554737</v>
      </c>
      <c r="H9" s="274">
        <f t="shared" ref="H9:H11" si="7">SUM(C9:G9)</f>
        <v>444502.37869968946</v>
      </c>
      <c r="J9" s="209" t="e">
        <f t="shared" si="1"/>
        <v>#DIV/0!</v>
      </c>
    </row>
    <row r="10" spans="2:10" x14ac:dyDescent="0.35">
      <c r="B10" s="253" t="s">
        <v>104</v>
      </c>
      <c r="C10" s="266">
        <f>C7+'Costi Anni 1-5'!C4</f>
        <v>27688.397316169576</v>
      </c>
      <c r="D10" s="267">
        <f>D7+'Costi Anni 1-5'!D4</f>
        <v>284885.70401235006</v>
      </c>
      <c r="E10" s="267">
        <f>E7+'Costi Anni 1-5'!E4</f>
        <v>565963.01070853067</v>
      </c>
      <c r="F10" s="267">
        <f>F7+'Costi Anni 1-5'!F4</f>
        <v>936040.31740471139</v>
      </c>
      <c r="G10" s="268">
        <f>G7+'Costi Anni 1-5'!G4</f>
        <v>1165877.6241008919</v>
      </c>
      <c r="H10" s="269">
        <f t="shared" si="7"/>
        <v>2980455.0535426536</v>
      </c>
      <c r="J10" s="209">
        <f t="shared" si="1"/>
        <v>41.107082283886413</v>
      </c>
    </row>
    <row r="11" spans="2:10" ht="16" thickBot="1" x14ac:dyDescent="0.4">
      <c r="B11" s="239" t="s">
        <v>105</v>
      </c>
      <c r="C11" s="237">
        <f>'Costi Base'!$C16*C10</f>
        <v>1334.5807506393735</v>
      </c>
      <c r="D11" s="237">
        <f>'Costi Base'!$C16*D10</f>
        <v>13731.490933395273</v>
      </c>
      <c r="E11" s="237">
        <f>'Costi Base'!$C16*E10</f>
        <v>27279.417116151177</v>
      </c>
      <c r="F11" s="237">
        <f>'Costi Base'!$C16*F10</f>
        <v>45117.143298907089</v>
      </c>
      <c r="G11" s="237">
        <f>'Costi Base'!$C16*G10</f>
        <v>56195.301481662987</v>
      </c>
      <c r="H11" s="243">
        <f t="shared" si="7"/>
        <v>143657.9335807559</v>
      </c>
      <c r="J11" s="209">
        <f t="shared" si="1"/>
        <v>41.107082283886406</v>
      </c>
    </row>
    <row r="12" spans="2:10" x14ac:dyDescent="0.35">
      <c r="B12" s="275" t="s">
        <v>103</v>
      </c>
      <c r="C12" s="276">
        <f>C7-C9-C11</f>
        <v>-248814.53634558088</v>
      </c>
      <c r="D12" s="276">
        <f>D7-D9-D11</f>
        <v>-6346.3040964536485</v>
      </c>
      <c r="E12" s="276">
        <f>E7-E9-E11</f>
        <v>193724.52280988771</v>
      </c>
      <c r="F12" s="276">
        <f t="shared" ref="F12:G12" si="8">F7-F9-F11</f>
        <v>457145.54971622908</v>
      </c>
      <c r="G12" s="276">
        <f t="shared" si="8"/>
        <v>620743.74462257046</v>
      </c>
      <c r="H12" s="279">
        <f>SUM(C12:G12)</f>
        <v>1016452.9767066527</v>
      </c>
      <c r="J12" s="209">
        <f>(G12-C12)/C12</f>
        <v>-3.4948049810096848</v>
      </c>
    </row>
    <row r="13" spans="2:10" ht="16" thickBot="1" x14ac:dyDescent="0.4">
      <c r="B13" s="280" t="s">
        <v>81</v>
      </c>
      <c r="C13" s="281">
        <f>C12/C3</f>
        <v>-0.60686472279409975</v>
      </c>
      <c r="D13" s="281">
        <f t="shared" ref="D13:G13" si="9">D12/D3</f>
        <v>-9.839231157292478E-3</v>
      </c>
      <c r="E13" s="281">
        <f t="shared" si="9"/>
        <v>0.21406024619877095</v>
      </c>
      <c r="F13" s="281">
        <f t="shared" si="9"/>
        <v>0.36454988015648254</v>
      </c>
      <c r="G13" s="281">
        <f t="shared" si="9"/>
        <v>0.42371586663656685</v>
      </c>
      <c r="H13" s="258">
        <f>H12/H3</f>
        <v>0.21723722519911362</v>
      </c>
    </row>
    <row r="14" spans="2:10" ht="16" thickBot="1" x14ac:dyDescent="0.4">
      <c r="B14" s="218" t="s">
        <v>82</v>
      </c>
      <c r="C14" s="270">
        <f>C12</f>
        <v>-248814.53634558088</v>
      </c>
      <c r="D14" s="270">
        <f>C14+D12</f>
        <v>-255160.84044203453</v>
      </c>
      <c r="E14" s="270">
        <f>D14+E12</f>
        <v>-61436.31763214682</v>
      </c>
      <c r="F14" s="270">
        <f>E14+F12</f>
        <v>395709.23208408226</v>
      </c>
      <c r="G14" s="270">
        <f>F14+G12</f>
        <v>1016452.9767066527</v>
      </c>
      <c r="H14" s="271"/>
    </row>
    <row r="18" spans="6:10" x14ac:dyDescent="0.35">
      <c r="J18" t="s">
        <v>24</v>
      </c>
    </row>
    <row r="21" spans="6:10" x14ac:dyDescent="0.35">
      <c r="F21" t="s">
        <v>24</v>
      </c>
    </row>
    <row r="23" spans="6:10" x14ac:dyDescent="0.35">
      <c r="G23" t="s">
        <v>24</v>
      </c>
    </row>
    <row r="39" spans="2:3" ht="16" thickBot="1" x14ac:dyDescent="0.4"/>
    <row r="40" spans="2:3" x14ac:dyDescent="0.35">
      <c r="B40" s="195" t="s">
        <v>106</v>
      </c>
      <c r="C40" s="285">
        <f>H12</f>
        <v>1016452.9767066527</v>
      </c>
    </row>
    <row r="41" spans="2:3" x14ac:dyDescent="0.35">
      <c r="B41" s="190" t="s">
        <v>83</v>
      </c>
      <c r="C41" s="193">
        <f>'Costi Anno 0'!C10</f>
        <v>784887.77900752588</v>
      </c>
    </row>
    <row r="42" spans="2:3" ht="16" thickBot="1" x14ac:dyDescent="0.4">
      <c r="B42" s="197" t="s">
        <v>84</v>
      </c>
      <c r="C42" s="273">
        <f>C40/C41</f>
        <v>1.295029689456926</v>
      </c>
    </row>
    <row r="43" spans="2:3" x14ac:dyDescent="0.35">
      <c r="B43" s="1" t="s">
        <v>118</v>
      </c>
      <c r="C43" s="286">
        <f>(C42-1)/5</f>
        <v>5.9005937891385196E-2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B722300C99644BBA4E01ACE20EBB6" ma:contentTypeVersion="8" ma:contentTypeDescription="Create a new document." ma:contentTypeScope="" ma:versionID="e7ebd0000f18172a68f9a48f286c2399">
  <xsd:schema xmlns:xsd="http://www.w3.org/2001/XMLSchema" xmlns:xs="http://www.w3.org/2001/XMLSchema" xmlns:p="http://schemas.microsoft.com/office/2006/metadata/properties" xmlns:ns2="dd4911ca-dc87-46a0-807b-aa3c895f9df8" targetNamespace="http://schemas.microsoft.com/office/2006/metadata/properties" ma:root="true" ma:fieldsID="47c73930cf6e0a3e6558fc90e9ea3c80" ns2:_="">
    <xsd:import namespace="dd4911ca-dc87-46a0-807b-aa3c895f9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911ca-dc87-46a0-807b-aa3c895f9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CD6C8-8945-43CB-8CB8-87E2D6D95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2870B-2651-404B-9F02-D186AD9036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624272-BCC0-4313-8C18-5F49C01AA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911ca-dc87-46a0-807b-aa3c895f9d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GANTT progetto</vt:lpstr>
      <vt:lpstr>Plan Fase 1</vt:lpstr>
      <vt:lpstr>Gruppi Fase 1</vt:lpstr>
      <vt:lpstr>Plan Fase 2</vt:lpstr>
      <vt:lpstr>Gruppi Fase 2</vt:lpstr>
      <vt:lpstr>Riepilogo Impegni OP</vt:lpstr>
      <vt:lpstr>Riepilogo Impegni AP</vt:lpstr>
      <vt:lpstr>Costi Base</vt:lpstr>
      <vt:lpstr>Costi Anno 0</vt:lpstr>
      <vt:lpstr>Costi Anni 1-5</vt:lpstr>
      <vt:lpstr>Ricavi Anni 1-5</vt:lpstr>
      <vt:lpstr>Costi Ricavi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sacca</dc:creator>
  <cp:lastModifiedBy>VITTORIO GALLICCHIO</cp:lastModifiedBy>
  <dcterms:created xsi:type="dcterms:W3CDTF">2023-12-03T08:46:25Z</dcterms:created>
  <dcterms:modified xsi:type="dcterms:W3CDTF">2026-02-22T21:37:15Z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0x010100DF7B722300C99644BBA4E01ACE20EBB6</vt:lpwstr>
  </property>
</Properties>
</file>