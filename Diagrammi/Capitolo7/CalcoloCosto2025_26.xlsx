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ca/Documents/Sacca/corsi/SisInfo/Anno 2025-26/Dispense/"/>
    </mc:Choice>
  </mc:AlternateContent>
  <xr:revisionPtr revIDLastSave="0" documentId="8_{E6842A70-B78F-D44F-B3AD-4CB96AEB4A75}" xr6:coauthVersionLast="47" xr6:coauthVersionMax="47" xr10:uidLastSave="{00000000-0000-0000-0000-000000000000}"/>
  <bookViews>
    <workbookView xWindow="0" yWindow="500" windowWidth="28800" windowHeight="17500" activeTab="3" xr2:uid="{93719C25-83EC-764C-B9E6-9B04AF2E5C7A}"/>
  </bookViews>
  <sheets>
    <sheet name="PM" sheetId="1" r:id="rId1"/>
    <sheet name="SA" sheetId="14" r:id="rId2"/>
    <sheet name="FSD" sheetId="15" r:id="rId3"/>
    <sheet name="FSDJ" sheetId="16" r:id="rId4"/>
    <sheet name="O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6" i="1"/>
  <c r="C8" i="16" l="1"/>
  <c r="C6" i="16" l="1"/>
  <c r="C6" i="14"/>
  <c r="C8" i="14" s="1"/>
  <c r="D8" i="14" s="1"/>
  <c r="C19" i="1"/>
  <c r="C17" i="1"/>
  <c r="C6" i="17"/>
  <c r="C8" i="17" s="1"/>
  <c r="D8" i="17" s="1"/>
  <c r="C5" i="17"/>
  <c r="C5" i="16"/>
  <c r="C6" i="15"/>
  <c r="C8" i="15" s="1"/>
  <c r="D8" i="15" s="1"/>
  <c r="C5" i="15"/>
  <c r="C5" i="14"/>
  <c r="C7" i="17" l="1"/>
  <c r="D7" i="17" s="1"/>
  <c r="C14" i="17"/>
  <c r="C15" i="17"/>
  <c r="C9" i="17"/>
  <c r="D8" i="16"/>
  <c r="C7" i="16"/>
  <c r="D7" i="16" s="1"/>
  <c r="C14" i="16"/>
  <c r="C15" i="16"/>
  <c r="D15" i="16" s="1"/>
  <c r="C7" i="15"/>
  <c r="D7" i="15" s="1"/>
  <c r="C14" i="15"/>
  <c r="C15" i="15"/>
  <c r="C7" i="14"/>
  <c r="C15" i="14"/>
  <c r="C14" i="14"/>
  <c r="C16" i="14" s="1"/>
  <c r="C15" i="1"/>
  <c r="D15" i="17" l="1"/>
  <c r="D9" i="17"/>
  <c r="C10" i="17"/>
  <c r="C11" i="17" s="1"/>
  <c r="C16" i="17"/>
  <c r="C16" i="16"/>
  <c r="C9" i="16"/>
  <c r="D15" i="15"/>
  <c r="C16" i="15"/>
  <c r="C9" i="15"/>
  <c r="E37" i="14"/>
  <c r="E34" i="14"/>
  <c r="E28" i="14"/>
  <c r="C17" i="14"/>
  <c r="D17" i="14" s="1"/>
  <c r="E36" i="14"/>
  <c r="E35" i="14"/>
  <c r="E29" i="14"/>
  <c r="D15" i="14"/>
  <c r="C9" i="14"/>
  <c r="D7" i="14"/>
  <c r="C7" i="1"/>
  <c r="D7" i="1" s="1"/>
  <c r="C8" i="1"/>
  <c r="C14" i="1"/>
  <c r="C16" i="1" s="1"/>
  <c r="E37" i="17" l="1"/>
  <c r="E36" i="17"/>
  <c r="E35" i="17"/>
  <c r="E34" i="17"/>
  <c r="E29" i="17"/>
  <c r="E28" i="17"/>
  <c r="C17" i="17" s="1"/>
  <c r="D9" i="16"/>
  <c r="C10" i="16"/>
  <c r="C11" i="16" s="1"/>
  <c r="E37" i="16"/>
  <c r="E28" i="16"/>
  <c r="C17" i="16"/>
  <c r="D17" i="16" s="1"/>
  <c r="E36" i="16"/>
  <c r="E34" i="16"/>
  <c r="E29" i="16"/>
  <c r="E35" i="16"/>
  <c r="C10" i="15"/>
  <c r="C11" i="15" s="1"/>
  <c r="D9" i="15"/>
  <c r="E37" i="15"/>
  <c r="E36" i="15"/>
  <c r="E35" i="15"/>
  <c r="E34" i="15"/>
  <c r="E28" i="15"/>
  <c r="C17" i="15" s="1"/>
  <c r="E29" i="15"/>
  <c r="C18" i="14"/>
  <c r="D9" i="14"/>
  <c r="C10" i="14"/>
  <c r="C11" i="14" s="1"/>
  <c r="E37" i="1"/>
  <c r="E29" i="1"/>
  <c r="E35" i="1"/>
  <c r="E34" i="1"/>
  <c r="E28" i="1"/>
  <c r="E36" i="1"/>
  <c r="D15" i="1"/>
  <c r="D17" i="17" l="1"/>
  <c r="C18" i="17"/>
  <c r="C18" i="16"/>
  <c r="D17" i="15"/>
  <c r="C18" i="15"/>
  <c r="C19" i="14"/>
  <c r="D19" i="14" s="1"/>
  <c r="D17" i="1"/>
  <c r="C19" i="17" l="1"/>
  <c r="D19" i="17" s="1"/>
  <c r="C19" i="16"/>
  <c r="D19" i="16" s="1"/>
  <c r="C19" i="15"/>
  <c r="D19" i="15" s="1"/>
  <c r="C20" i="14"/>
  <c r="C18" i="1"/>
  <c r="C20" i="1" s="1"/>
  <c r="C21" i="1" l="1"/>
  <c r="C20" i="17"/>
  <c r="C20" i="16"/>
  <c r="C20" i="15"/>
  <c r="C21" i="14"/>
  <c r="C22" i="14"/>
  <c r="D22" i="14" s="1"/>
  <c r="D19" i="1"/>
  <c r="C21" i="17" l="1"/>
  <c r="C22" i="17"/>
  <c r="D22" i="17" s="1"/>
  <c r="C21" i="16"/>
  <c r="C22" i="16"/>
  <c r="D22" i="16" s="1"/>
  <c r="C21" i="15"/>
  <c r="C22" i="15"/>
  <c r="D22" i="15" s="1"/>
  <c r="C5" i="1" l="1"/>
  <c r="D8" i="1" l="1"/>
  <c r="C9" i="1" l="1"/>
  <c r="D22" i="1" s="1"/>
  <c r="C10" i="1" l="1"/>
  <c r="D9" i="1"/>
  <c r="C11" i="1" l="1"/>
</calcChain>
</file>

<file path=xl/sharedStrings.xml><?xml version="1.0" encoding="utf-8"?>
<sst xmlns="http://schemas.openxmlformats.org/spreadsheetml/2006/main" count="235" uniqueCount="56">
  <si>
    <t>Numero ore al giorno</t>
  </si>
  <si>
    <t>B TFR (Trattamento di fine rapporto)</t>
  </si>
  <si>
    <t>C Oneri a carico azienda (INPS e INAIL)</t>
  </si>
  <si>
    <t>(NOA) Numero ore in un anno</t>
  </si>
  <si>
    <t>rispetto al RAL</t>
  </si>
  <si>
    <t>A RAL (Retribuzione Annua Lorda)</t>
  </si>
  <si>
    <t>CALCOLO NETTO DIPENDENTE</t>
  </si>
  <si>
    <t>A RAL</t>
  </si>
  <si>
    <t>A1 Oneri a carico dipendente (INPS e INAIL)</t>
  </si>
  <si>
    <t>A2 Reddito Imponibile Lordo: A - A1</t>
  </si>
  <si>
    <t>rispetto a A2</t>
  </si>
  <si>
    <t>A3 Detrazioni per lavoro dipendente: vedi nota (*) per il calcolo</t>
  </si>
  <si>
    <t>A4 Reddito Imponibile Netto: A2 - A3</t>
  </si>
  <si>
    <t>aliquota media A5/A4</t>
  </si>
  <si>
    <t>A5 IRPEF (vedi nota ** per il calcolo)</t>
  </si>
  <si>
    <t>A6 Netto busta paga: A4-A5</t>
  </si>
  <si>
    <t>A7 Netto mensile su 13 mensilità</t>
  </si>
  <si>
    <t>D COSTO ANNUO AZIENDA = A+B+C</t>
  </si>
  <si>
    <t>COSTO ORARIO AZIENDA = D/NOA</t>
  </si>
  <si>
    <t>CALCOLO LORDO AZIENDA</t>
  </si>
  <si>
    <t>(NGA) Numero giornate lavorative in un anno</t>
  </si>
  <si>
    <t>COSTO GIORNATA/PERSONA AZIENDA  = D/NGA</t>
  </si>
  <si>
    <t>rispetto al RAL, cioè RAL/13,5</t>
  </si>
  <si>
    <t>rispetto al RAL, cioè 2/3 dei contributi totali pari al 36% del RAL</t>
  </si>
  <si>
    <t>MIN</t>
  </si>
  <si>
    <t>MAX</t>
  </si>
  <si>
    <t>Detrazione</t>
  </si>
  <si>
    <t>(*) Calcolo Detrazioni</t>
  </si>
  <si>
    <t>(**) Calcolo IRPEF</t>
  </si>
  <si>
    <t>IRPEF</t>
  </si>
  <si>
    <t>23% dell'imponibile</t>
  </si>
  <si>
    <t>3.450€ + 25% dell'imponibile che supera i 15.000€</t>
  </si>
  <si>
    <t>6.700€ + 35% dell'imponibile che supera i 28.000€</t>
  </si>
  <si>
    <t>14.400€ + 43% dell'imponibile che supera i 50.000€</t>
  </si>
  <si>
    <t>nessuna detrazione</t>
  </si>
  <si>
    <t>1.910€+1.190€*(28.000-imponibile)/(28.000-15.000)</t>
  </si>
  <si>
    <t>variabile da 690€ a 1880€</t>
  </si>
  <si>
    <t>1.910€*(50.000-imponibile)/(50.000-22.000)</t>
  </si>
  <si>
    <r>
      <rPr>
        <sz val="12"/>
        <color theme="1"/>
        <rFont val="Calibri"/>
        <family val="2"/>
        <scheme val="minor"/>
      </rPr>
      <t xml:space="preserve">N.B. </t>
    </r>
    <r>
      <rPr>
        <i/>
        <sz val="12"/>
        <color theme="1"/>
        <rFont val="Calibri"/>
        <family val="2"/>
        <scheme val="minor"/>
      </rPr>
      <t>trascurate detrazioni per familiari a carico</t>
    </r>
  </si>
  <si>
    <t>A8 Totale Oneri Fiscali e Previdenziali: D - A6</t>
  </si>
  <si>
    <t>CUNEO FISCALE: Rapporto tra A8 e D</t>
  </si>
  <si>
    <t>PM</t>
  </si>
  <si>
    <t>SA</t>
  </si>
  <si>
    <t>FSD</t>
  </si>
  <si>
    <t>livello A1 (ex 8 quadro) del contratto metalmeccanico con sovraminimo mensile di 1000€</t>
  </si>
  <si>
    <t xml:space="preserve">livello B3 (ex 7) del contratto metalmeccanico con sovraminimo mensile di 500€ </t>
  </si>
  <si>
    <t>livello B2 (ex 6) del contratto metalmeccanico con sovraminimo mensile di 200€</t>
  </si>
  <si>
    <t>Project Manager, Laureato Magistrale con lunga esperienza</t>
  </si>
  <si>
    <t xml:space="preserve">Software Architect, tecnologi informatici con laurea magistrale, esperti di dominio, data scientist </t>
  </si>
  <si>
    <t>Full Stak Developer con laurea magistrale, esperto di CRM, data analyst</t>
  </si>
  <si>
    <t>FSDJ</t>
  </si>
  <si>
    <t>Full Stak Developer Junior con laurea triennale</t>
  </si>
  <si>
    <t xml:space="preserve">livello B1 (ex 5 super) del contratto metalmeccanico senza sovraminimo </t>
  </si>
  <si>
    <t>OP</t>
  </si>
  <si>
    <t>Operatore software, spesso con laurea triennale o addirittura magistrale</t>
  </si>
  <si>
    <t xml:space="preserve">livello C3 (ex 5) del contratto metalmeccanico senza sovraminimo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</si>
</sst>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44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44" fontId="4" fillId="0" borderId="0" xfId="1" applyFont="1"/>
    <xf numFmtId="10" fontId="3" fillId="0" borderId="0" xfId="2" applyNumberFormat="1" applyFont="1" applyAlignment="1">
      <alignment horizontal="center"/>
    </xf>
    <xf numFmtId="0" fontId="0" fillId="0" borderId="0" xfId="0" applyAlignment="1">
      <alignment vertical="center" wrapText="1"/>
    </xf>
    <xf numFmtId="10" fontId="3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/>
    </xf>
    <xf numFmtId="0" fontId="2" fillId="0" borderId="3" xfId="0" applyFont="1" applyBorder="1"/>
    <xf numFmtId="0" fontId="3" fillId="0" borderId="3" xfId="0" applyFont="1" applyBorder="1"/>
    <xf numFmtId="0" fontId="3" fillId="0" borderId="5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5" xfId="0" applyBorder="1"/>
    <xf numFmtId="164" fontId="3" fillId="0" borderId="0" xfId="0" applyNumberFormat="1" applyFont="1"/>
    <xf numFmtId="44" fontId="2" fillId="2" borderId="4" xfId="1" applyFont="1" applyFill="1" applyBorder="1"/>
    <xf numFmtId="44" fontId="0" fillId="0" borderId="4" xfId="0" applyNumberFormat="1" applyBorder="1"/>
    <xf numFmtId="44" fontId="2" fillId="0" borderId="4" xfId="0" applyNumberFormat="1" applyFont="1" applyBorder="1"/>
    <xf numFmtId="44" fontId="3" fillId="0" borderId="4" xfId="0" applyNumberFormat="1" applyFont="1" applyBorder="1"/>
    <xf numFmtId="44" fontId="3" fillId="0" borderId="6" xfId="0" applyNumberFormat="1" applyFont="1" applyBorder="1"/>
    <xf numFmtId="44" fontId="0" fillId="0" borderId="4" xfId="0" applyNumberFormat="1" applyBorder="1" applyAlignment="1">
      <alignment vertical="center" wrapText="1"/>
    </xf>
    <xf numFmtId="44" fontId="0" fillId="0" borderId="7" xfId="1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" xfId="0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5" xfId="1" applyFont="1" applyBorder="1"/>
    <xf numFmtId="44" fontId="0" fillId="0" borderId="9" xfId="1" applyFont="1" applyBorder="1"/>
    <xf numFmtId="0" fontId="0" fillId="0" borderId="6" xfId="0" applyBorder="1"/>
    <xf numFmtId="0" fontId="3" fillId="0" borderId="2" xfId="0" applyFont="1" applyBorder="1" applyAlignment="1">
      <alignment horizontal="center"/>
    </xf>
    <xf numFmtId="44" fontId="0" fillId="0" borderId="6" xfId="1" applyFont="1" applyBorder="1"/>
    <xf numFmtId="44" fontId="0" fillId="0" borderId="6" xfId="2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D81C-0E67-E541-BDD0-BEE319BF53D6}">
  <dimension ref="B1:G37"/>
  <sheetViews>
    <sheetView zoomScale="170" zoomScaleNormal="170" workbookViewId="0">
      <selection activeCell="B23" sqref="B23"/>
    </sheetView>
  </sheetViews>
  <sheetFormatPr baseColWidth="10" defaultRowHeight="16" x14ac:dyDescent="0.2"/>
  <cols>
    <col min="2" max="2" width="40.5" customWidth="1"/>
    <col min="3" max="3" width="13" bestFit="1" customWidth="1"/>
    <col min="4" max="4" width="12.83203125" style="1" customWidth="1"/>
    <col min="5" max="6" width="12" bestFit="1" customWidth="1"/>
  </cols>
  <sheetData>
    <row r="1" spans="2:7" ht="17" thickBot="1" x14ac:dyDescent="0.25"/>
    <row r="2" spans="2:7" s="10" customFormat="1" ht="17" x14ac:dyDescent="0.2">
      <c r="B2" s="13" t="s">
        <v>19</v>
      </c>
      <c r="C2" s="14" t="s">
        <v>41</v>
      </c>
      <c r="D2" s="43" t="s">
        <v>47</v>
      </c>
    </row>
    <row r="3" spans="2:7" x14ac:dyDescent="0.2">
      <c r="B3" s="15" t="s">
        <v>0</v>
      </c>
      <c r="C3" s="16">
        <v>8</v>
      </c>
      <c r="D3" s="4"/>
    </row>
    <row r="4" spans="2:7" x14ac:dyDescent="0.2">
      <c r="B4" s="15" t="s">
        <v>20</v>
      </c>
      <c r="C4" s="16">
        <v>219</v>
      </c>
      <c r="D4" s="4"/>
    </row>
    <row r="5" spans="2:7" x14ac:dyDescent="0.2">
      <c r="B5" s="15" t="s">
        <v>3</v>
      </c>
      <c r="C5" s="16">
        <f>C3*C4</f>
        <v>1752</v>
      </c>
      <c r="D5" s="4"/>
    </row>
    <row r="6" spans="2:7" x14ac:dyDescent="0.2">
      <c r="B6" s="17" t="s">
        <v>5</v>
      </c>
      <c r="C6" s="25">
        <f>(2493.21+1000)*13</f>
        <v>45411.73</v>
      </c>
      <c r="D6" s="5" t="s">
        <v>44</v>
      </c>
      <c r="F6" s="9"/>
    </row>
    <row r="7" spans="2:7" x14ac:dyDescent="0.2">
      <c r="B7" s="15" t="s">
        <v>1</v>
      </c>
      <c r="C7" s="26">
        <f>C6/13.5</f>
        <v>3363.8318518518522</v>
      </c>
      <c r="D7" s="6">
        <f>C7/C$6</f>
        <v>7.407407407407407E-2</v>
      </c>
      <c r="E7" s="1" t="s">
        <v>22</v>
      </c>
    </row>
    <row r="8" spans="2:7" x14ac:dyDescent="0.2">
      <c r="B8" s="15" t="s">
        <v>2</v>
      </c>
      <c r="C8" s="26">
        <f>C6*0.36*2/3</f>
        <v>10898.815200000001</v>
      </c>
      <c r="D8" s="6">
        <f>C8/C$6</f>
        <v>0.24</v>
      </c>
      <c r="E8" s="1" t="s">
        <v>23</v>
      </c>
      <c r="F8" s="9"/>
    </row>
    <row r="9" spans="2:7" x14ac:dyDescent="0.2">
      <c r="B9" s="17" t="s">
        <v>17</v>
      </c>
      <c r="C9" s="27">
        <f>C6+C7+C8</f>
        <v>59674.377051851858</v>
      </c>
      <c r="D9" s="6">
        <f>C9/C$6</f>
        <v>1.3140740740740742</v>
      </c>
      <c r="E9" s="1" t="s">
        <v>4</v>
      </c>
    </row>
    <row r="10" spans="2:7" x14ac:dyDescent="0.2">
      <c r="B10" s="18" t="s">
        <v>18</v>
      </c>
      <c r="C10" s="28">
        <f>C9/C5</f>
        <v>34.06071749534923</v>
      </c>
      <c r="D10" s="2"/>
    </row>
    <row r="11" spans="2:7" ht="17" thickBot="1" x14ac:dyDescent="0.25">
      <c r="B11" s="19" t="s">
        <v>21</v>
      </c>
      <c r="C11" s="29">
        <f>C10*C3</f>
        <v>272.48573996279384</v>
      </c>
      <c r="D11" s="2"/>
      <c r="F11" s="9"/>
      <c r="G11" s="9"/>
    </row>
    <row r="12" spans="2:7" ht="17" thickBot="1" x14ac:dyDescent="0.25">
      <c r="B12" s="1"/>
      <c r="C12" s="24"/>
      <c r="D12" s="2"/>
      <c r="F12" s="9"/>
      <c r="G12" s="9"/>
    </row>
    <row r="13" spans="2:7" x14ac:dyDescent="0.2">
      <c r="B13" s="20" t="s">
        <v>6</v>
      </c>
      <c r="C13" s="21"/>
    </row>
    <row r="14" spans="2:7" x14ac:dyDescent="0.2">
      <c r="B14" s="15" t="s">
        <v>7</v>
      </c>
      <c r="C14" s="27">
        <f>C6</f>
        <v>45411.73</v>
      </c>
    </row>
    <row r="15" spans="2:7" x14ac:dyDescent="0.2">
      <c r="B15" s="15" t="s">
        <v>8</v>
      </c>
      <c r="C15" s="26">
        <f>C$6*0.36*1/3</f>
        <v>5449.4076000000005</v>
      </c>
      <c r="D15" s="8">
        <f>C15/C14</f>
        <v>0.12</v>
      </c>
      <c r="E15" s="1" t="s">
        <v>4</v>
      </c>
    </row>
    <row r="16" spans="2:7" x14ac:dyDescent="0.2">
      <c r="B16" s="15" t="s">
        <v>9</v>
      </c>
      <c r="C16" s="26">
        <f>C14-C15</f>
        <v>39962.322400000005</v>
      </c>
    </row>
    <row r="17" spans="2:6" s="7" customFormat="1" ht="34" x14ac:dyDescent="0.2">
      <c r="B17" s="22" t="s">
        <v>11</v>
      </c>
      <c r="C17" s="30">
        <f>LOOKUP(C16,C27:C30,E27:E30)</f>
        <v>684.71300771428537</v>
      </c>
      <c r="D17" s="11">
        <f>C17/C16</f>
        <v>1.713396435924568E-2</v>
      </c>
      <c r="E17" s="12" t="s">
        <v>10</v>
      </c>
      <c r="F17" s="12" t="s">
        <v>38</v>
      </c>
    </row>
    <row r="18" spans="2:6" x14ac:dyDescent="0.2">
      <c r="B18" s="15" t="s">
        <v>12</v>
      </c>
      <c r="C18" s="26">
        <f>C16-C17</f>
        <v>39277.609392285718</v>
      </c>
    </row>
    <row r="19" spans="2:6" s="10" customFormat="1" ht="17" x14ac:dyDescent="0.2">
      <c r="B19" s="22" t="s">
        <v>14</v>
      </c>
      <c r="C19" s="26">
        <f>LOOKUP(C18,C34:C37,E34:E37)</f>
        <v>10886.812840000002</v>
      </c>
      <c r="D19" s="11">
        <f>C19/C18</f>
        <v>0.27717605547903373</v>
      </c>
      <c r="E19" s="12" t="s">
        <v>13</v>
      </c>
    </row>
    <row r="20" spans="2:6" x14ac:dyDescent="0.2">
      <c r="B20" s="15" t="s">
        <v>15</v>
      </c>
      <c r="C20" s="26">
        <f>C18-C19</f>
        <v>28390.796552285716</v>
      </c>
    </row>
    <row r="21" spans="2:6" x14ac:dyDescent="0.2">
      <c r="B21" s="15" t="s">
        <v>16</v>
      </c>
      <c r="C21" s="26">
        <f>C20/13</f>
        <v>2183.9074270989013</v>
      </c>
    </row>
    <row r="22" spans="2:6" ht="17" thickBot="1" x14ac:dyDescent="0.25">
      <c r="B22" s="23" t="s">
        <v>39</v>
      </c>
      <c r="C22" s="42">
        <f>C9-C20</f>
        <v>31283.580499566142</v>
      </c>
      <c r="D22" s="11">
        <f>C22/C9</f>
        <v>0.52423807411317291</v>
      </c>
      <c r="E22" s="1" t="s">
        <v>40</v>
      </c>
    </row>
    <row r="25" spans="2:6" ht="17" thickBot="1" x14ac:dyDescent="0.25">
      <c r="C25" s="3" t="s">
        <v>27</v>
      </c>
    </row>
    <row r="26" spans="2:6" x14ac:dyDescent="0.2">
      <c r="C26" s="32" t="s">
        <v>24</v>
      </c>
      <c r="D26" s="33" t="s">
        <v>25</v>
      </c>
      <c r="E26" s="34" t="s">
        <v>26</v>
      </c>
    </row>
    <row r="27" spans="2:6" x14ac:dyDescent="0.2">
      <c r="C27" s="35">
        <v>0</v>
      </c>
      <c r="D27" s="31">
        <v>15000</v>
      </c>
      <c r="E27" s="36">
        <v>1880</v>
      </c>
      <c r="F27" s="1" t="s">
        <v>36</v>
      </c>
    </row>
    <row r="28" spans="2:6" x14ac:dyDescent="0.2">
      <c r="C28" s="35">
        <v>15001</v>
      </c>
      <c r="D28" s="31">
        <v>28000</v>
      </c>
      <c r="E28" s="36">
        <f>1910+1190*(D28-C$16)/(D28-D27)</f>
        <v>814.98741107692263</v>
      </c>
      <c r="F28" s="1" t="s">
        <v>35</v>
      </c>
    </row>
    <row r="29" spans="2:6" x14ac:dyDescent="0.2">
      <c r="C29" s="35">
        <v>28001</v>
      </c>
      <c r="D29" s="31">
        <v>50000</v>
      </c>
      <c r="E29" s="36">
        <f>1910*(D29-C$16)/(D29-22000)</f>
        <v>684.71300771428537</v>
      </c>
      <c r="F29" s="1" t="s">
        <v>37</v>
      </c>
    </row>
    <row r="30" spans="2:6" ht="17" thickBot="1" x14ac:dyDescent="0.25">
      <c r="C30" s="37">
        <v>50001</v>
      </c>
      <c r="D30" s="38">
        <v>200000</v>
      </c>
      <c r="E30" s="39">
        <v>0</v>
      </c>
      <c r="F30" s="1" t="s">
        <v>34</v>
      </c>
    </row>
    <row r="32" spans="2:6" ht="17" thickBot="1" x14ac:dyDescent="0.25">
      <c r="C32" s="3" t="s">
        <v>28</v>
      </c>
    </row>
    <row r="33" spans="3:6" x14ac:dyDescent="0.2">
      <c r="C33" s="32" t="s">
        <v>24</v>
      </c>
      <c r="D33" s="33" t="s">
        <v>25</v>
      </c>
      <c r="E33" s="40" t="s">
        <v>29</v>
      </c>
    </row>
    <row r="34" spans="3:6" x14ac:dyDescent="0.2">
      <c r="C34" s="35">
        <v>0</v>
      </c>
      <c r="D34" s="31">
        <v>15000</v>
      </c>
      <c r="E34" s="36">
        <f>0.23*C$16</f>
        <v>9191.3341520000013</v>
      </c>
      <c r="F34" s="1" t="s">
        <v>30</v>
      </c>
    </row>
    <row r="35" spans="3:6" x14ac:dyDescent="0.2">
      <c r="C35" s="35">
        <v>15001</v>
      </c>
      <c r="D35" s="31">
        <v>28000</v>
      </c>
      <c r="E35" s="36">
        <f>3450+0.25*(C$16-D34)</f>
        <v>9690.5806000000011</v>
      </c>
      <c r="F35" s="1" t="s">
        <v>31</v>
      </c>
    </row>
    <row r="36" spans="3:6" x14ac:dyDescent="0.2">
      <c r="C36" s="35">
        <v>28001</v>
      </c>
      <c r="D36" s="31">
        <v>50000</v>
      </c>
      <c r="E36" s="36">
        <f>6700+0.35*(C$16-D35)</f>
        <v>10886.812840000002</v>
      </c>
      <c r="F36" s="1" t="s">
        <v>32</v>
      </c>
    </row>
    <row r="37" spans="3:6" ht="17" thickBot="1" x14ac:dyDescent="0.25">
      <c r="C37" s="37">
        <v>50001</v>
      </c>
      <c r="D37" s="38">
        <v>200000</v>
      </c>
      <c r="E37" s="41">
        <f>14400+0.43*(C$16-D36)</f>
        <v>10083.798632000002</v>
      </c>
      <c r="F3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C0DA-441E-7F46-9EE8-FB4FDEBB7991}">
  <dimension ref="B1:G37"/>
  <sheetViews>
    <sheetView zoomScale="170" zoomScaleNormal="170" workbookViewId="0">
      <selection activeCell="C7" sqref="C7"/>
    </sheetView>
  </sheetViews>
  <sheetFormatPr baseColWidth="10" defaultRowHeight="16" x14ac:dyDescent="0.2"/>
  <cols>
    <col min="2" max="2" width="40.5" customWidth="1"/>
    <col min="3" max="3" width="13" bestFit="1" customWidth="1"/>
    <col min="4" max="4" width="12.83203125" style="1" customWidth="1"/>
    <col min="5" max="6" width="12" bestFit="1" customWidth="1"/>
  </cols>
  <sheetData>
    <row r="1" spans="2:7" ht="17" thickBot="1" x14ac:dyDescent="0.25"/>
    <row r="2" spans="2:7" s="10" customFormat="1" ht="17" x14ac:dyDescent="0.2">
      <c r="B2" s="13" t="s">
        <v>19</v>
      </c>
      <c r="C2" s="14" t="s">
        <v>42</v>
      </c>
      <c r="D2" s="43" t="s">
        <v>48</v>
      </c>
    </row>
    <row r="3" spans="2:7" x14ac:dyDescent="0.2">
      <c r="B3" s="15" t="s">
        <v>0</v>
      </c>
      <c r="C3" s="16">
        <v>8</v>
      </c>
      <c r="D3" s="4"/>
    </row>
    <row r="4" spans="2:7" x14ac:dyDescent="0.2">
      <c r="B4" s="15" t="s">
        <v>20</v>
      </c>
      <c r="C4" s="16">
        <v>219</v>
      </c>
      <c r="D4" s="4"/>
    </row>
    <row r="5" spans="2:7" x14ac:dyDescent="0.2">
      <c r="B5" s="15" t="s">
        <v>3</v>
      </c>
      <c r="C5" s="16">
        <f>C3*C4</f>
        <v>1752</v>
      </c>
      <c r="D5" s="4"/>
    </row>
    <row r="6" spans="2:7" x14ac:dyDescent="0.2">
      <c r="B6" s="17" t="s">
        <v>5</v>
      </c>
      <c r="C6" s="25">
        <f>(2434.88+500)*13</f>
        <v>38153.440000000002</v>
      </c>
      <c r="D6" s="5" t="s">
        <v>45</v>
      </c>
      <c r="F6" s="9"/>
    </row>
    <row r="7" spans="2:7" x14ac:dyDescent="0.2">
      <c r="B7" s="15" t="s">
        <v>1</v>
      </c>
      <c r="C7" s="26">
        <f>C6/13.5</f>
        <v>2826.1807407407409</v>
      </c>
      <c r="D7" s="6">
        <f>C7/C$6</f>
        <v>7.407407407407407E-2</v>
      </c>
      <c r="E7" s="1" t="s">
        <v>22</v>
      </c>
    </row>
    <row r="8" spans="2:7" x14ac:dyDescent="0.2">
      <c r="B8" s="15" t="s">
        <v>2</v>
      </c>
      <c r="C8" s="26">
        <f>C6*0.36*2/3</f>
        <v>9156.8256000000001</v>
      </c>
      <c r="D8" s="6">
        <f>C8/C$6</f>
        <v>0.24</v>
      </c>
      <c r="E8" s="1" t="s">
        <v>23</v>
      </c>
      <c r="F8" s="9"/>
    </row>
    <row r="9" spans="2:7" x14ac:dyDescent="0.2">
      <c r="B9" s="17" t="s">
        <v>17</v>
      </c>
      <c r="C9" s="27">
        <f>C6+C7+C8</f>
        <v>50136.446340740746</v>
      </c>
      <c r="D9" s="6">
        <f>C9/C$6</f>
        <v>1.3140740740740742</v>
      </c>
      <c r="E9" s="1" t="s">
        <v>4</v>
      </c>
    </row>
    <row r="10" spans="2:7" x14ac:dyDescent="0.2">
      <c r="B10" s="18" t="s">
        <v>18</v>
      </c>
      <c r="C10" s="28">
        <f>C9/C5</f>
        <v>28.616693116861157</v>
      </c>
      <c r="D10" s="2"/>
    </row>
    <row r="11" spans="2:7" ht="17" thickBot="1" x14ac:dyDescent="0.25">
      <c r="B11" s="19" t="s">
        <v>21</v>
      </c>
      <c r="C11" s="29">
        <f>C10*C3</f>
        <v>228.93354493488926</v>
      </c>
      <c r="D11" s="2"/>
      <c r="F11" s="9"/>
      <c r="G11" s="9"/>
    </row>
    <row r="12" spans="2:7" ht="17" thickBot="1" x14ac:dyDescent="0.25">
      <c r="B12" s="1"/>
      <c r="C12" s="24"/>
      <c r="D12" s="2"/>
      <c r="F12" s="9"/>
      <c r="G12" s="9"/>
    </row>
    <row r="13" spans="2:7" x14ac:dyDescent="0.2">
      <c r="B13" s="20" t="s">
        <v>6</v>
      </c>
      <c r="C13" s="21"/>
    </row>
    <row r="14" spans="2:7" x14ac:dyDescent="0.2">
      <c r="B14" s="15" t="s">
        <v>7</v>
      </c>
      <c r="C14" s="27">
        <f>C6</f>
        <v>38153.440000000002</v>
      </c>
    </row>
    <row r="15" spans="2:7" x14ac:dyDescent="0.2">
      <c r="B15" s="15" t="s">
        <v>8</v>
      </c>
      <c r="C15" s="26">
        <f>C$6*0.36*1/3</f>
        <v>4578.4128000000001</v>
      </c>
      <c r="D15" s="8">
        <f>C15/C14</f>
        <v>0.12</v>
      </c>
      <c r="E15" s="1" t="s">
        <v>4</v>
      </c>
    </row>
    <row r="16" spans="2:7" x14ac:dyDescent="0.2">
      <c r="B16" s="15" t="s">
        <v>9</v>
      </c>
      <c r="C16" s="26">
        <f>C14-C15</f>
        <v>33575.027200000004</v>
      </c>
    </row>
    <row r="17" spans="2:6" s="7" customFormat="1" ht="34" x14ac:dyDescent="0.2">
      <c r="B17" s="22" t="s">
        <v>11</v>
      </c>
      <c r="C17" s="30">
        <f>LOOKUP(C16,C27:C30,E27:E30)</f>
        <v>1120.4177874285713</v>
      </c>
      <c r="D17" s="11">
        <f>C17/C16</f>
        <v>3.3370569761699886E-2</v>
      </c>
      <c r="E17" s="12" t="s">
        <v>10</v>
      </c>
      <c r="F17" s="12" t="s">
        <v>38</v>
      </c>
    </row>
    <row r="18" spans="2:6" x14ac:dyDescent="0.2">
      <c r="B18" s="15" t="s">
        <v>12</v>
      </c>
      <c r="C18" s="26">
        <f>C16-C17</f>
        <v>32454.609412571433</v>
      </c>
    </row>
    <row r="19" spans="2:6" s="10" customFormat="1" ht="17" x14ac:dyDescent="0.2">
      <c r="B19" s="22" t="s">
        <v>14</v>
      </c>
      <c r="C19" s="26">
        <f>LOOKUP(C18,C34:C37,E34:E37)</f>
        <v>8651.2595200000014</v>
      </c>
      <c r="D19" s="11">
        <f>C19/C18</f>
        <v>0.26656489406552214</v>
      </c>
      <c r="E19" s="12" t="s">
        <v>13</v>
      </c>
    </row>
    <row r="20" spans="2:6" x14ac:dyDescent="0.2">
      <c r="B20" s="15" t="s">
        <v>15</v>
      </c>
      <c r="C20" s="26">
        <f>C18-C19</f>
        <v>23803.34989257143</v>
      </c>
    </row>
    <row r="21" spans="2:6" x14ac:dyDescent="0.2">
      <c r="B21" s="15" t="s">
        <v>16</v>
      </c>
      <c r="C21" s="26">
        <f>C20/13</f>
        <v>1831.026914813187</v>
      </c>
    </row>
    <row r="22" spans="2:6" ht="17" thickBot="1" x14ac:dyDescent="0.25">
      <c r="B22" s="23" t="s">
        <v>39</v>
      </c>
      <c r="C22" s="42">
        <f>C9-C20</f>
        <v>26333.096448169315</v>
      </c>
      <c r="D22" s="11">
        <f>C22/C9</f>
        <v>0.52522861850244684</v>
      </c>
      <c r="E22" s="1" t="s">
        <v>40</v>
      </c>
    </row>
    <row r="25" spans="2:6" ht="17" thickBot="1" x14ac:dyDescent="0.25">
      <c r="C25" s="3" t="s">
        <v>27</v>
      </c>
    </row>
    <row r="26" spans="2:6" x14ac:dyDescent="0.2">
      <c r="C26" s="32" t="s">
        <v>24</v>
      </c>
      <c r="D26" s="33" t="s">
        <v>25</v>
      </c>
      <c r="E26" s="34" t="s">
        <v>26</v>
      </c>
    </row>
    <row r="27" spans="2:6" x14ac:dyDescent="0.2">
      <c r="C27" s="35">
        <v>0</v>
      </c>
      <c r="D27" s="31">
        <v>15000</v>
      </c>
      <c r="E27" s="36">
        <v>1880</v>
      </c>
      <c r="F27" s="1" t="s">
        <v>36</v>
      </c>
    </row>
    <row r="28" spans="2:6" x14ac:dyDescent="0.2">
      <c r="C28" s="35">
        <v>15001</v>
      </c>
      <c r="D28" s="31">
        <v>28000</v>
      </c>
      <c r="E28" s="36">
        <f>1910+1190*(D28-C$16)/(D28-D27)</f>
        <v>1399.6705870769229</v>
      </c>
      <c r="F28" s="1" t="s">
        <v>35</v>
      </c>
    </row>
    <row r="29" spans="2:6" x14ac:dyDescent="0.2">
      <c r="C29" s="35">
        <v>28001</v>
      </c>
      <c r="D29" s="31">
        <v>50000</v>
      </c>
      <c r="E29" s="36">
        <f>1910*(D29-C$16)/(D29-22000)</f>
        <v>1120.4177874285713</v>
      </c>
      <c r="F29" s="1" t="s">
        <v>37</v>
      </c>
    </row>
    <row r="30" spans="2:6" ht="17" thickBot="1" x14ac:dyDescent="0.25">
      <c r="C30" s="37">
        <v>50001</v>
      </c>
      <c r="D30" s="38">
        <v>200000</v>
      </c>
      <c r="E30" s="39">
        <v>0</v>
      </c>
      <c r="F30" s="1" t="s">
        <v>34</v>
      </c>
    </row>
    <row r="32" spans="2:6" ht="17" thickBot="1" x14ac:dyDescent="0.25">
      <c r="C32" s="3" t="s">
        <v>28</v>
      </c>
    </row>
    <row r="33" spans="3:6" x14ac:dyDescent="0.2">
      <c r="C33" s="32" t="s">
        <v>24</v>
      </c>
      <c r="D33" s="33" t="s">
        <v>25</v>
      </c>
      <c r="E33" s="40" t="s">
        <v>29</v>
      </c>
    </row>
    <row r="34" spans="3:6" x14ac:dyDescent="0.2">
      <c r="C34" s="35">
        <v>0</v>
      </c>
      <c r="D34" s="31">
        <v>15000</v>
      </c>
      <c r="E34" s="36">
        <f>0.23*C$16</f>
        <v>7722.2562560000015</v>
      </c>
      <c r="F34" s="1" t="s">
        <v>30</v>
      </c>
    </row>
    <row r="35" spans="3:6" x14ac:dyDescent="0.2">
      <c r="C35" s="35">
        <v>15001</v>
      </c>
      <c r="D35" s="31">
        <v>28000</v>
      </c>
      <c r="E35" s="36">
        <f>3450+0.25*(C$16-D34)</f>
        <v>8093.756800000001</v>
      </c>
      <c r="F35" s="1" t="s">
        <v>31</v>
      </c>
    </row>
    <row r="36" spans="3:6" x14ac:dyDescent="0.2">
      <c r="C36" s="35">
        <v>28001</v>
      </c>
      <c r="D36" s="31">
        <v>50000</v>
      </c>
      <c r="E36" s="36">
        <f>6700+0.35*(C$16-D35)</f>
        <v>8651.2595200000014</v>
      </c>
      <c r="F36" s="1" t="s">
        <v>32</v>
      </c>
    </row>
    <row r="37" spans="3:6" ht="17" thickBot="1" x14ac:dyDescent="0.25">
      <c r="C37" s="37">
        <v>50001</v>
      </c>
      <c r="D37" s="38">
        <v>200000</v>
      </c>
      <c r="E37" s="41">
        <f>14400+0.43*(C$16-D36)</f>
        <v>7337.2616960000023</v>
      </c>
      <c r="F37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ED11-A43C-E84A-8F71-7192D644AE0A}">
  <dimension ref="B1:G37"/>
  <sheetViews>
    <sheetView zoomScale="180" zoomScaleNormal="180" workbookViewId="0">
      <selection activeCell="D2" sqref="D2"/>
    </sheetView>
  </sheetViews>
  <sheetFormatPr baseColWidth="10" defaultRowHeight="16" x14ac:dyDescent="0.2"/>
  <cols>
    <col min="2" max="2" width="40.5" customWidth="1"/>
    <col min="3" max="3" width="13" bestFit="1" customWidth="1"/>
    <col min="4" max="4" width="12.83203125" style="1" customWidth="1"/>
    <col min="5" max="6" width="12" bestFit="1" customWidth="1"/>
  </cols>
  <sheetData>
    <row r="1" spans="2:7" ht="17" thickBot="1" x14ac:dyDescent="0.25"/>
    <row r="2" spans="2:7" s="10" customFormat="1" ht="17" x14ac:dyDescent="0.2">
      <c r="B2" s="13" t="s">
        <v>19</v>
      </c>
      <c r="C2" s="14" t="s">
        <v>43</v>
      </c>
      <c r="D2" s="43" t="s">
        <v>49</v>
      </c>
    </row>
    <row r="3" spans="2:7" x14ac:dyDescent="0.2">
      <c r="B3" s="15" t="s">
        <v>0</v>
      </c>
      <c r="C3" s="16">
        <v>8</v>
      </c>
      <c r="D3" s="4"/>
    </row>
    <row r="4" spans="2:7" x14ac:dyDescent="0.2">
      <c r="B4" s="15" t="s">
        <v>20</v>
      </c>
      <c r="C4" s="16">
        <v>219</v>
      </c>
      <c r="D4" s="4"/>
    </row>
    <row r="5" spans="2:7" x14ac:dyDescent="0.2">
      <c r="B5" s="15" t="s">
        <v>3</v>
      </c>
      <c r="C5" s="16">
        <f>C3*C4</f>
        <v>1752</v>
      </c>
      <c r="D5" s="4"/>
    </row>
    <row r="6" spans="2:7" x14ac:dyDescent="0.2">
      <c r="B6" s="17" t="s">
        <v>5</v>
      </c>
      <c r="C6" s="25">
        <f>(2181+200)*13</f>
        <v>30953</v>
      </c>
      <c r="D6" s="5" t="s">
        <v>46</v>
      </c>
      <c r="F6" s="9"/>
    </row>
    <row r="7" spans="2:7" x14ac:dyDescent="0.2">
      <c r="B7" s="15" t="s">
        <v>1</v>
      </c>
      <c r="C7" s="26">
        <f>C6/13.5</f>
        <v>2292.8148148148148</v>
      </c>
      <c r="D7" s="6">
        <f>C7/C$6</f>
        <v>7.407407407407407E-2</v>
      </c>
      <c r="E7" s="1" t="s">
        <v>22</v>
      </c>
    </row>
    <row r="8" spans="2:7" x14ac:dyDescent="0.2">
      <c r="B8" s="15" t="s">
        <v>2</v>
      </c>
      <c r="C8" s="26">
        <f>C6*0.36*2/3</f>
        <v>7428.72</v>
      </c>
      <c r="D8" s="6">
        <f>C8/C$6</f>
        <v>0.24000000000000002</v>
      </c>
      <c r="E8" s="1" t="s">
        <v>23</v>
      </c>
      <c r="F8" s="9"/>
    </row>
    <row r="9" spans="2:7" x14ac:dyDescent="0.2">
      <c r="B9" s="17" t="s">
        <v>17</v>
      </c>
      <c r="C9" s="27">
        <f>C6+C7+C8</f>
        <v>40674.534814814819</v>
      </c>
      <c r="D9" s="6">
        <f>C9/C$6</f>
        <v>1.3140740740740742</v>
      </c>
      <c r="E9" s="1" t="s">
        <v>4</v>
      </c>
    </row>
    <row r="10" spans="2:7" x14ac:dyDescent="0.2">
      <c r="B10" s="18" t="s">
        <v>18</v>
      </c>
      <c r="C10" s="28">
        <f>C9/C5</f>
        <v>23.216058684255035</v>
      </c>
      <c r="D10" s="2"/>
    </row>
    <row r="11" spans="2:7" ht="17" thickBot="1" x14ac:dyDescent="0.25">
      <c r="B11" s="19" t="s">
        <v>21</v>
      </c>
      <c r="C11" s="29">
        <f>C10*C3</f>
        <v>185.72846947404028</v>
      </c>
      <c r="D11" s="2"/>
      <c r="F11" s="9"/>
      <c r="G11" s="9"/>
    </row>
    <row r="12" spans="2:7" ht="17" thickBot="1" x14ac:dyDescent="0.25">
      <c r="B12" s="1"/>
      <c r="C12" s="24"/>
      <c r="D12" s="2"/>
      <c r="F12" s="9"/>
      <c r="G12" s="9"/>
    </row>
    <row r="13" spans="2:7" x14ac:dyDescent="0.2">
      <c r="B13" s="20" t="s">
        <v>6</v>
      </c>
      <c r="C13" s="21"/>
    </row>
    <row r="14" spans="2:7" x14ac:dyDescent="0.2">
      <c r="B14" s="15" t="s">
        <v>7</v>
      </c>
      <c r="C14" s="27">
        <f>C6</f>
        <v>30953</v>
      </c>
    </row>
    <row r="15" spans="2:7" x14ac:dyDescent="0.2">
      <c r="B15" s="15" t="s">
        <v>8</v>
      </c>
      <c r="C15" s="26">
        <f>C$6*0.36*1/3</f>
        <v>3714.36</v>
      </c>
      <c r="D15" s="8">
        <f>C15/C14</f>
        <v>0.12000000000000001</v>
      </c>
      <c r="E15" s="1" t="s">
        <v>4</v>
      </c>
    </row>
    <row r="16" spans="2:7" x14ac:dyDescent="0.2">
      <c r="B16" s="15" t="s">
        <v>9</v>
      </c>
      <c r="C16" s="26">
        <f>C14-C15</f>
        <v>27238.639999999999</v>
      </c>
    </row>
    <row r="17" spans="2:6" s="7" customFormat="1" ht="34" x14ac:dyDescent="0.2">
      <c r="B17" s="22" t="s">
        <v>11</v>
      </c>
      <c r="C17" s="30">
        <f>LOOKUP(C16,C27:C30,E27:E30)</f>
        <v>1979.6937230769231</v>
      </c>
      <c r="D17" s="11">
        <f>C17/C16</f>
        <v>7.2679609667623754E-2</v>
      </c>
      <c r="E17" s="12" t="s">
        <v>10</v>
      </c>
      <c r="F17" s="12" t="s">
        <v>38</v>
      </c>
    </row>
    <row r="18" spans="2:6" x14ac:dyDescent="0.2">
      <c r="B18" s="15" t="s">
        <v>12</v>
      </c>
      <c r="C18" s="26">
        <f>C16-C17</f>
        <v>25258.946276923078</v>
      </c>
    </row>
    <row r="19" spans="2:6" s="10" customFormat="1" ht="17" x14ac:dyDescent="0.2">
      <c r="B19" s="22" t="s">
        <v>14</v>
      </c>
      <c r="C19" s="26">
        <f>LOOKUP(C18,C34:C37,E34:E37)</f>
        <v>6509.66</v>
      </c>
      <c r="D19" s="11">
        <f>C19/C18</f>
        <v>0.25771700563563554</v>
      </c>
      <c r="E19" s="12" t="s">
        <v>13</v>
      </c>
    </row>
    <row r="20" spans="2:6" x14ac:dyDescent="0.2">
      <c r="B20" s="15" t="s">
        <v>15</v>
      </c>
      <c r="C20" s="26">
        <f>C18-C19</f>
        <v>18749.286276923078</v>
      </c>
    </row>
    <row r="21" spans="2:6" x14ac:dyDescent="0.2">
      <c r="B21" s="15" t="s">
        <v>16</v>
      </c>
      <c r="C21" s="26">
        <f>C20/13</f>
        <v>1442.2527905325444</v>
      </c>
    </row>
    <row r="22" spans="2:6" ht="17" thickBot="1" x14ac:dyDescent="0.25">
      <c r="B22" s="23" t="s">
        <v>39</v>
      </c>
      <c r="C22" s="42">
        <f>C9-C20</f>
        <v>21925.248537891741</v>
      </c>
      <c r="D22" s="11">
        <f>C22/C9</f>
        <v>0.5390411626762095</v>
      </c>
      <c r="E22" s="1" t="s">
        <v>40</v>
      </c>
    </row>
    <row r="25" spans="2:6" ht="17" thickBot="1" x14ac:dyDescent="0.25">
      <c r="C25" s="3" t="s">
        <v>27</v>
      </c>
    </row>
    <row r="26" spans="2:6" x14ac:dyDescent="0.2">
      <c r="C26" s="32" t="s">
        <v>24</v>
      </c>
      <c r="D26" s="33" t="s">
        <v>25</v>
      </c>
      <c r="E26" s="34" t="s">
        <v>26</v>
      </c>
    </row>
    <row r="27" spans="2:6" x14ac:dyDescent="0.2">
      <c r="C27" s="35">
        <v>0</v>
      </c>
      <c r="D27" s="31">
        <v>15000</v>
      </c>
      <c r="E27" s="36">
        <v>1880</v>
      </c>
      <c r="F27" s="1" t="s">
        <v>36</v>
      </c>
    </row>
    <row r="28" spans="2:6" x14ac:dyDescent="0.2">
      <c r="C28" s="35">
        <v>15001</v>
      </c>
      <c r="D28" s="31">
        <v>28000</v>
      </c>
      <c r="E28" s="36">
        <f>1910+1190*(D28-C$16)/(D28-D27)</f>
        <v>1979.6937230769231</v>
      </c>
      <c r="F28" s="1" t="s">
        <v>35</v>
      </c>
    </row>
    <row r="29" spans="2:6" x14ac:dyDescent="0.2">
      <c r="C29" s="35">
        <v>28001</v>
      </c>
      <c r="D29" s="31">
        <v>50000</v>
      </c>
      <c r="E29" s="36">
        <f>1910*(D29-C$16)/(D29-22000)</f>
        <v>1552.6499142857144</v>
      </c>
      <c r="F29" s="1" t="s">
        <v>37</v>
      </c>
    </row>
    <row r="30" spans="2:6" ht="17" thickBot="1" x14ac:dyDescent="0.25">
      <c r="C30" s="37">
        <v>50001</v>
      </c>
      <c r="D30" s="38">
        <v>200000</v>
      </c>
      <c r="E30" s="39">
        <v>0</v>
      </c>
      <c r="F30" s="1" t="s">
        <v>34</v>
      </c>
    </row>
    <row r="32" spans="2:6" ht="17" thickBot="1" x14ac:dyDescent="0.25">
      <c r="C32" s="3" t="s">
        <v>28</v>
      </c>
    </row>
    <row r="33" spans="3:6" x14ac:dyDescent="0.2">
      <c r="C33" s="32" t="s">
        <v>24</v>
      </c>
      <c r="D33" s="33" t="s">
        <v>25</v>
      </c>
      <c r="E33" s="40" t="s">
        <v>29</v>
      </c>
    </row>
    <row r="34" spans="3:6" x14ac:dyDescent="0.2">
      <c r="C34" s="35">
        <v>0</v>
      </c>
      <c r="D34" s="31">
        <v>15000</v>
      </c>
      <c r="E34" s="36">
        <f>0.23*C$16</f>
        <v>6264.8872000000001</v>
      </c>
      <c r="F34" s="1" t="s">
        <v>30</v>
      </c>
    </row>
    <row r="35" spans="3:6" x14ac:dyDescent="0.2">
      <c r="C35" s="35">
        <v>15001</v>
      </c>
      <c r="D35" s="31">
        <v>28000</v>
      </c>
      <c r="E35" s="36">
        <f>3450+0.25*(C$16-D34)</f>
        <v>6509.66</v>
      </c>
      <c r="F35" s="1" t="s">
        <v>31</v>
      </c>
    </row>
    <row r="36" spans="3:6" x14ac:dyDescent="0.2">
      <c r="C36" s="35">
        <v>28001</v>
      </c>
      <c r="D36" s="31">
        <v>50000</v>
      </c>
      <c r="E36" s="36">
        <f>6700+0.35*(C$16-D35)</f>
        <v>6433.5239999999994</v>
      </c>
      <c r="F36" s="1" t="s">
        <v>32</v>
      </c>
    </row>
    <row r="37" spans="3:6" ht="17" thickBot="1" x14ac:dyDescent="0.25">
      <c r="C37" s="37">
        <v>50001</v>
      </c>
      <c r="D37" s="38">
        <v>200000</v>
      </c>
      <c r="E37" s="41">
        <f>14400+0.43*(C$16-D36)</f>
        <v>4612.6152000000002</v>
      </c>
      <c r="F37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4A9D-3613-CF4A-84C7-28F5F192274B}">
  <dimension ref="B1:G37"/>
  <sheetViews>
    <sheetView tabSelected="1" zoomScale="170" zoomScaleNormal="170" workbookViewId="0">
      <selection activeCell="C7" sqref="C7"/>
    </sheetView>
  </sheetViews>
  <sheetFormatPr baseColWidth="10" defaultRowHeight="16" x14ac:dyDescent="0.2"/>
  <cols>
    <col min="2" max="2" width="40.5" customWidth="1"/>
    <col min="3" max="3" width="13" bestFit="1" customWidth="1"/>
    <col min="4" max="4" width="12.83203125" style="1" customWidth="1"/>
    <col min="5" max="6" width="12" bestFit="1" customWidth="1"/>
  </cols>
  <sheetData>
    <row r="1" spans="2:7" ht="17" thickBot="1" x14ac:dyDescent="0.25"/>
    <row r="2" spans="2:7" s="10" customFormat="1" ht="17" x14ac:dyDescent="0.2">
      <c r="B2" s="13" t="s">
        <v>19</v>
      </c>
      <c r="C2" s="14" t="s">
        <v>50</v>
      </c>
      <c r="D2" s="43" t="s">
        <v>51</v>
      </c>
    </row>
    <row r="3" spans="2:7" x14ac:dyDescent="0.2">
      <c r="B3" s="15" t="s">
        <v>0</v>
      </c>
      <c r="C3" s="16">
        <v>8</v>
      </c>
      <c r="D3" s="4"/>
    </row>
    <row r="4" spans="2:7" x14ac:dyDescent="0.2">
      <c r="B4" s="15" t="s">
        <v>20</v>
      </c>
      <c r="C4" s="16">
        <v>219</v>
      </c>
      <c r="D4" s="4"/>
    </row>
    <row r="5" spans="2:7" x14ac:dyDescent="0.2">
      <c r="B5" s="15" t="s">
        <v>3</v>
      </c>
      <c r="C5" s="16">
        <f>C3*C4</f>
        <v>1752</v>
      </c>
      <c r="D5" s="4"/>
    </row>
    <row r="6" spans="2:7" x14ac:dyDescent="0.2">
      <c r="B6" s="17" t="s">
        <v>5</v>
      </c>
      <c r="C6" s="25">
        <f>2032.93*13</f>
        <v>26428.09</v>
      </c>
      <c r="D6" s="5" t="s">
        <v>52</v>
      </c>
      <c r="F6" s="9"/>
    </row>
    <row r="7" spans="2:7" x14ac:dyDescent="0.2">
      <c r="B7" s="15" t="s">
        <v>1</v>
      </c>
      <c r="C7" s="26">
        <f>C6/13.5</f>
        <v>1957.6362962962962</v>
      </c>
      <c r="D7" s="6">
        <f>C7/C$6</f>
        <v>7.407407407407407E-2</v>
      </c>
      <c r="E7" s="1" t="s">
        <v>22</v>
      </c>
    </row>
    <row r="8" spans="2:7" x14ac:dyDescent="0.2">
      <c r="B8" s="15" t="s">
        <v>2</v>
      </c>
      <c r="C8" s="26">
        <f>C6*0.36*2/3</f>
        <v>6342.7416000000003</v>
      </c>
      <c r="D8" s="6">
        <f>C8/C$6</f>
        <v>0.24000000000000002</v>
      </c>
      <c r="E8" s="1" t="s">
        <v>23</v>
      </c>
      <c r="F8" s="9"/>
    </row>
    <row r="9" spans="2:7" x14ac:dyDescent="0.2">
      <c r="B9" s="17" t="s">
        <v>17</v>
      </c>
      <c r="C9" s="27">
        <f>C6+C7+C8</f>
        <v>34728.467896296293</v>
      </c>
      <c r="D9" s="6">
        <f>C9/C$6</f>
        <v>1.314074074074074</v>
      </c>
      <c r="E9" s="1" t="s">
        <v>4</v>
      </c>
    </row>
    <row r="10" spans="2:7" x14ac:dyDescent="0.2">
      <c r="B10" s="18" t="s">
        <v>18</v>
      </c>
      <c r="C10" s="28">
        <f>C9/C5</f>
        <v>19.822184872315237</v>
      </c>
      <c r="D10" s="2"/>
    </row>
    <row r="11" spans="2:7" ht="17" thickBot="1" x14ac:dyDescent="0.25">
      <c r="B11" s="19" t="s">
        <v>21</v>
      </c>
      <c r="C11" s="29">
        <f>C10*C3</f>
        <v>158.5774789785219</v>
      </c>
      <c r="D11" s="2"/>
      <c r="F11" s="9"/>
      <c r="G11" s="9"/>
    </row>
    <row r="12" spans="2:7" ht="17" thickBot="1" x14ac:dyDescent="0.25">
      <c r="B12" s="1"/>
      <c r="C12" s="24"/>
      <c r="D12" s="2"/>
      <c r="F12" s="9"/>
      <c r="G12" s="9"/>
    </row>
    <row r="13" spans="2:7" x14ac:dyDescent="0.2">
      <c r="B13" s="20" t="s">
        <v>6</v>
      </c>
      <c r="C13" s="21"/>
    </row>
    <row r="14" spans="2:7" x14ac:dyDescent="0.2">
      <c r="B14" s="15" t="s">
        <v>7</v>
      </c>
      <c r="C14" s="27">
        <f>C6</f>
        <v>26428.09</v>
      </c>
    </row>
    <row r="15" spans="2:7" x14ac:dyDescent="0.2">
      <c r="B15" s="15" t="s">
        <v>8</v>
      </c>
      <c r="C15" s="26">
        <f>C$6*0.36*1/3</f>
        <v>3171.3708000000001</v>
      </c>
      <c r="D15" s="8">
        <f>C15/C14</f>
        <v>0.12000000000000001</v>
      </c>
      <c r="E15" s="1" t="s">
        <v>4</v>
      </c>
    </row>
    <row r="16" spans="2:7" x14ac:dyDescent="0.2">
      <c r="B16" s="15" t="s">
        <v>9</v>
      </c>
      <c r="C16" s="26">
        <f>C14-C15</f>
        <v>23256.7192</v>
      </c>
    </row>
    <row r="17" spans="2:6" s="7" customFormat="1" ht="34" x14ac:dyDescent="0.2">
      <c r="B17" s="22" t="s">
        <v>11</v>
      </c>
      <c r="C17" s="30">
        <f>LOOKUP(C16,C27:C30,E27:E30)</f>
        <v>2344.1926270769231</v>
      </c>
      <c r="D17" s="11">
        <f>C17/C16</f>
        <v>0.10079635940554002</v>
      </c>
      <c r="E17" s="12" t="s">
        <v>10</v>
      </c>
      <c r="F17" s="12" t="s">
        <v>38</v>
      </c>
    </row>
    <row r="18" spans="2:6" x14ac:dyDescent="0.2">
      <c r="B18" s="15" t="s">
        <v>12</v>
      </c>
      <c r="C18" s="26">
        <f>C16-C17</f>
        <v>20912.526572923078</v>
      </c>
    </row>
    <row r="19" spans="2:6" s="10" customFormat="1" ht="17" x14ac:dyDescent="0.2">
      <c r="B19" s="22" t="s">
        <v>14</v>
      </c>
      <c r="C19" s="26">
        <f>LOOKUP(C18,C34:C37,E34:E37)</f>
        <v>5514.1797999999999</v>
      </c>
      <c r="D19" s="11">
        <f>C19/C18</f>
        <v>0.26367831647561885</v>
      </c>
      <c r="E19" s="12" t="s">
        <v>13</v>
      </c>
    </row>
    <row r="20" spans="2:6" x14ac:dyDescent="0.2">
      <c r="B20" s="15" t="s">
        <v>15</v>
      </c>
      <c r="C20" s="26">
        <f>C18-C19</f>
        <v>15398.346772923078</v>
      </c>
    </row>
    <row r="21" spans="2:6" x14ac:dyDescent="0.2">
      <c r="B21" s="15" t="s">
        <v>16</v>
      </c>
      <c r="C21" s="26">
        <f>C20/13</f>
        <v>1184.4882133017752</v>
      </c>
    </row>
    <row r="22" spans="2:6" ht="17" thickBot="1" x14ac:dyDescent="0.25">
      <c r="B22" s="23" t="s">
        <v>39</v>
      </c>
      <c r="C22" s="42">
        <f>C9-C20</f>
        <v>19330.121123373217</v>
      </c>
      <c r="D22" s="11">
        <f>C22/C9</f>
        <v>0.55660736837269831</v>
      </c>
      <c r="E22" s="1" t="s">
        <v>40</v>
      </c>
    </row>
    <row r="25" spans="2:6" ht="17" thickBot="1" x14ac:dyDescent="0.25">
      <c r="C25" s="3" t="s">
        <v>27</v>
      </c>
    </row>
    <row r="26" spans="2:6" x14ac:dyDescent="0.2">
      <c r="C26" s="32" t="s">
        <v>24</v>
      </c>
      <c r="D26" s="33" t="s">
        <v>25</v>
      </c>
      <c r="E26" s="34" t="s">
        <v>26</v>
      </c>
    </row>
    <row r="27" spans="2:6" x14ac:dyDescent="0.2">
      <c r="C27" s="35">
        <v>0</v>
      </c>
      <c r="D27" s="31">
        <v>15000</v>
      </c>
      <c r="E27" s="36">
        <v>1880</v>
      </c>
      <c r="F27" s="1" t="s">
        <v>36</v>
      </c>
    </row>
    <row r="28" spans="2:6" x14ac:dyDescent="0.2">
      <c r="C28" s="35">
        <v>15001</v>
      </c>
      <c r="D28" s="31">
        <v>28000</v>
      </c>
      <c r="E28" s="36">
        <f>1910+1190*(D28-C$16)/(D28-D27)</f>
        <v>2344.1926270769231</v>
      </c>
      <c r="F28" s="1" t="s">
        <v>35</v>
      </c>
    </row>
    <row r="29" spans="2:6" x14ac:dyDescent="0.2">
      <c r="C29" s="35">
        <v>28001</v>
      </c>
      <c r="D29" s="31">
        <v>50000</v>
      </c>
      <c r="E29" s="36">
        <f>1910*(D29-C$16)/(D29-22000)</f>
        <v>1824.2737974285715</v>
      </c>
      <c r="F29" s="1" t="s">
        <v>37</v>
      </c>
    </row>
    <row r="30" spans="2:6" ht="17" thickBot="1" x14ac:dyDescent="0.25">
      <c r="C30" s="37">
        <v>50001</v>
      </c>
      <c r="D30" s="38">
        <v>200000</v>
      </c>
      <c r="E30" s="39">
        <v>0</v>
      </c>
      <c r="F30" s="1" t="s">
        <v>34</v>
      </c>
    </row>
    <row r="32" spans="2:6" ht="17" thickBot="1" x14ac:dyDescent="0.25">
      <c r="C32" s="3" t="s">
        <v>28</v>
      </c>
    </row>
    <row r="33" spans="3:6" x14ac:dyDescent="0.2">
      <c r="C33" s="32" t="s">
        <v>24</v>
      </c>
      <c r="D33" s="33" t="s">
        <v>25</v>
      </c>
      <c r="E33" s="40" t="s">
        <v>29</v>
      </c>
    </row>
    <row r="34" spans="3:6" x14ac:dyDescent="0.2">
      <c r="C34" s="35">
        <v>0</v>
      </c>
      <c r="D34" s="31">
        <v>15000</v>
      </c>
      <c r="E34" s="36">
        <f>0.23*C$16</f>
        <v>5349.0454159999999</v>
      </c>
      <c r="F34" s="1" t="s">
        <v>30</v>
      </c>
    </row>
    <row r="35" spans="3:6" x14ac:dyDescent="0.2">
      <c r="C35" s="35">
        <v>15001</v>
      </c>
      <c r="D35" s="31">
        <v>28000</v>
      </c>
      <c r="E35" s="36">
        <f>3450+0.25*(C$16-D34)</f>
        <v>5514.1797999999999</v>
      </c>
      <c r="F35" s="1" t="s">
        <v>31</v>
      </c>
    </row>
    <row r="36" spans="3:6" x14ac:dyDescent="0.2">
      <c r="C36" s="35">
        <v>28001</v>
      </c>
      <c r="D36" s="31">
        <v>50000</v>
      </c>
      <c r="E36" s="36">
        <f>6700+0.35*(C$16-D35)</f>
        <v>5039.8517199999997</v>
      </c>
      <c r="F36" s="1" t="s">
        <v>32</v>
      </c>
    </row>
    <row r="37" spans="3:6" ht="17" thickBot="1" x14ac:dyDescent="0.25">
      <c r="C37" s="37">
        <v>50001</v>
      </c>
      <c r="D37" s="38">
        <v>200000</v>
      </c>
      <c r="E37" s="41">
        <f>14400+0.43*(C$16-D36)</f>
        <v>2900.3892560000004</v>
      </c>
      <c r="F37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1378-5473-8F40-8923-2F84D8232073}">
  <dimension ref="B1:G37"/>
  <sheetViews>
    <sheetView zoomScale="170" zoomScaleNormal="170" workbookViewId="0">
      <selection activeCell="C6" sqref="C6"/>
    </sheetView>
  </sheetViews>
  <sheetFormatPr baseColWidth="10" defaultRowHeight="16" x14ac:dyDescent="0.2"/>
  <cols>
    <col min="2" max="2" width="40.5" customWidth="1"/>
    <col min="3" max="3" width="13" bestFit="1" customWidth="1"/>
    <col min="4" max="4" width="12.83203125" style="1" customWidth="1"/>
    <col min="5" max="6" width="12" bestFit="1" customWidth="1"/>
  </cols>
  <sheetData>
    <row r="1" spans="2:7" ht="17" thickBot="1" x14ac:dyDescent="0.25"/>
    <row r="2" spans="2:7" s="10" customFormat="1" ht="17" x14ac:dyDescent="0.2">
      <c r="B2" s="13" t="s">
        <v>19</v>
      </c>
      <c r="C2" s="14" t="s">
        <v>53</v>
      </c>
      <c r="D2" s="43" t="s">
        <v>54</v>
      </c>
    </row>
    <row r="3" spans="2:7" x14ac:dyDescent="0.2">
      <c r="B3" s="15" t="s">
        <v>0</v>
      </c>
      <c r="C3" s="16">
        <v>8</v>
      </c>
      <c r="D3" s="4"/>
    </row>
    <row r="4" spans="2:7" x14ac:dyDescent="0.2">
      <c r="B4" s="15" t="s">
        <v>20</v>
      </c>
      <c r="C4" s="16">
        <v>219</v>
      </c>
      <c r="D4" s="4"/>
    </row>
    <row r="5" spans="2:7" x14ac:dyDescent="0.2">
      <c r="B5" s="15" t="s">
        <v>3</v>
      </c>
      <c r="C5" s="16">
        <f>C3*C4</f>
        <v>1752</v>
      </c>
      <c r="D5" s="4"/>
    </row>
    <row r="6" spans="2:7" x14ac:dyDescent="0.2">
      <c r="B6" s="17" t="s">
        <v>5</v>
      </c>
      <c r="C6" s="25">
        <f>1896.64*13</f>
        <v>24656.32</v>
      </c>
      <c r="D6" s="5" t="s">
        <v>55</v>
      </c>
      <c r="F6" s="9"/>
    </row>
    <row r="7" spans="2:7" x14ac:dyDescent="0.2">
      <c r="B7" s="15" t="s">
        <v>1</v>
      </c>
      <c r="C7" s="26">
        <f>C6/13.5</f>
        <v>1826.3940740740741</v>
      </c>
      <c r="D7" s="6">
        <f>C7/C$6</f>
        <v>7.407407407407407E-2</v>
      </c>
      <c r="E7" s="1" t="s">
        <v>22</v>
      </c>
    </row>
    <row r="8" spans="2:7" x14ac:dyDescent="0.2">
      <c r="B8" s="15" t="s">
        <v>2</v>
      </c>
      <c r="C8" s="26">
        <f>C6*0.36*2/3</f>
        <v>5917.5168000000003</v>
      </c>
      <c r="D8" s="6">
        <f>C8/C$6</f>
        <v>0.24000000000000002</v>
      </c>
      <c r="E8" s="1" t="s">
        <v>23</v>
      </c>
      <c r="F8" s="9"/>
    </row>
    <row r="9" spans="2:7" x14ac:dyDescent="0.2">
      <c r="B9" s="17" t="s">
        <v>17</v>
      </c>
      <c r="C9" s="27">
        <f>C6+C7+C8</f>
        <v>32400.230874074074</v>
      </c>
      <c r="D9" s="6">
        <f>C9/C$6</f>
        <v>1.3140740740740742</v>
      </c>
      <c r="E9" s="1" t="s">
        <v>4</v>
      </c>
    </row>
    <row r="10" spans="2:7" x14ac:dyDescent="0.2">
      <c r="B10" s="18" t="s">
        <v>18</v>
      </c>
      <c r="C10" s="28">
        <f>C9/C5</f>
        <v>18.493282462371045</v>
      </c>
      <c r="D10" s="2"/>
    </row>
    <row r="11" spans="2:7" ht="17" thickBot="1" x14ac:dyDescent="0.25">
      <c r="B11" s="19" t="s">
        <v>21</v>
      </c>
      <c r="C11" s="29">
        <f>C10*C3</f>
        <v>147.94625969896836</v>
      </c>
      <c r="D11" s="2"/>
      <c r="F11" s="9"/>
      <c r="G11" s="9"/>
    </row>
    <row r="12" spans="2:7" ht="17" thickBot="1" x14ac:dyDescent="0.25">
      <c r="B12" s="1"/>
      <c r="C12" s="24"/>
      <c r="D12" s="2"/>
      <c r="F12" s="9"/>
      <c r="G12" s="9"/>
    </row>
    <row r="13" spans="2:7" x14ac:dyDescent="0.2">
      <c r="B13" s="20" t="s">
        <v>6</v>
      </c>
      <c r="C13" s="21"/>
    </row>
    <row r="14" spans="2:7" x14ac:dyDescent="0.2">
      <c r="B14" s="15" t="s">
        <v>7</v>
      </c>
      <c r="C14" s="27">
        <f>C6</f>
        <v>24656.32</v>
      </c>
    </row>
    <row r="15" spans="2:7" x14ac:dyDescent="0.2">
      <c r="B15" s="15" t="s">
        <v>8</v>
      </c>
      <c r="C15" s="26">
        <f>C$6*0.36*1/3</f>
        <v>2958.7584000000002</v>
      </c>
      <c r="D15" s="8">
        <f>C15/C14</f>
        <v>0.12000000000000001</v>
      </c>
      <c r="E15" s="1" t="s">
        <v>4</v>
      </c>
    </row>
    <row r="16" spans="2:7" x14ac:dyDescent="0.2">
      <c r="B16" s="15" t="s">
        <v>9</v>
      </c>
      <c r="C16" s="26">
        <f>C14-C15</f>
        <v>21697.561600000001</v>
      </c>
    </row>
    <row r="17" spans="2:6" s="7" customFormat="1" ht="34" x14ac:dyDescent="0.2">
      <c r="B17" s="22" t="s">
        <v>11</v>
      </c>
      <c r="C17" s="30">
        <f>LOOKUP(C16,C27:C30,E27:E30)</f>
        <v>2486.9155150769229</v>
      </c>
      <c r="D17" s="11">
        <f>C17/C16</f>
        <v>0.11461728100713967</v>
      </c>
      <c r="E17" s="12" t="s">
        <v>10</v>
      </c>
      <c r="F17" s="12" t="s">
        <v>38</v>
      </c>
    </row>
    <row r="18" spans="2:6" x14ac:dyDescent="0.2">
      <c r="B18" s="15" t="s">
        <v>12</v>
      </c>
      <c r="C18" s="26">
        <f>C16-C17</f>
        <v>19210.646084923079</v>
      </c>
    </row>
    <row r="19" spans="2:6" s="10" customFormat="1" ht="17" x14ac:dyDescent="0.2">
      <c r="B19" s="22" t="s">
        <v>14</v>
      </c>
      <c r="C19" s="26">
        <f>LOOKUP(C18,C34:C37,E34:E37)</f>
        <v>5124.3904000000002</v>
      </c>
      <c r="D19" s="11">
        <f>C19/C18</f>
        <v>0.26674742626286424</v>
      </c>
      <c r="E19" s="12" t="s">
        <v>13</v>
      </c>
    </row>
    <row r="20" spans="2:6" x14ac:dyDescent="0.2">
      <c r="B20" s="15" t="s">
        <v>15</v>
      </c>
      <c r="C20" s="26">
        <f>C18-C19</f>
        <v>14086.255684923079</v>
      </c>
    </row>
    <row r="21" spans="2:6" x14ac:dyDescent="0.2">
      <c r="B21" s="15" t="s">
        <v>16</v>
      </c>
      <c r="C21" s="26">
        <f>C20/13</f>
        <v>1083.5581296094676</v>
      </c>
    </row>
    <row r="22" spans="2:6" ht="17" thickBot="1" x14ac:dyDescent="0.25">
      <c r="B22" s="23" t="s">
        <v>39</v>
      </c>
      <c r="C22" s="42">
        <f>C9-C20</f>
        <v>18313.975189150995</v>
      </c>
      <c r="D22" s="11">
        <f>C22/C9</f>
        <v>0.56524212004320684</v>
      </c>
      <c r="E22" s="1" t="s">
        <v>40</v>
      </c>
    </row>
    <row r="25" spans="2:6" ht="17" thickBot="1" x14ac:dyDescent="0.25">
      <c r="C25" s="3" t="s">
        <v>27</v>
      </c>
    </row>
    <row r="26" spans="2:6" x14ac:dyDescent="0.2">
      <c r="C26" s="32" t="s">
        <v>24</v>
      </c>
      <c r="D26" s="33" t="s">
        <v>25</v>
      </c>
      <c r="E26" s="34" t="s">
        <v>26</v>
      </c>
    </row>
    <row r="27" spans="2:6" x14ac:dyDescent="0.2">
      <c r="C27" s="35">
        <v>0</v>
      </c>
      <c r="D27" s="31">
        <v>15000</v>
      </c>
      <c r="E27" s="36">
        <v>1880</v>
      </c>
      <c r="F27" s="1" t="s">
        <v>36</v>
      </c>
    </row>
    <row r="28" spans="2:6" x14ac:dyDescent="0.2">
      <c r="C28" s="35">
        <v>15001</v>
      </c>
      <c r="D28" s="31">
        <v>28000</v>
      </c>
      <c r="E28" s="36">
        <f>1910+1190*(D28-C$16)/(D28-D27)</f>
        <v>2486.9155150769229</v>
      </c>
      <c r="F28" s="1" t="s">
        <v>35</v>
      </c>
    </row>
    <row r="29" spans="2:6" x14ac:dyDescent="0.2">
      <c r="C29" s="35">
        <v>28001</v>
      </c>
      <c r="D29" s="31">
        <v>50000</v>
      </c>
      <c r="E29" s="36">
        <f>1910*(D29-C$16)/(D29-22000)</f>
        <v>1930.6306194285712</v>
      </c>
      <c r="F29" s="1" t="s">
        <v>37</v>
      </c>
    </row>
    <row r="30" spans="2:6" ht="17" thickBot="1" x14ac:dyDescent="0.25">
      <c r="C30" s="37">
        <v>50001</v>
      </c>
      <c r="D30" s="38">
        <v>200000</v>
      </c>
      <c r="E30" s="39">
        <v>0</v>
      </c>
      <c r="F30" s="1" t="s">
        <v>34</v>
      </c>
    </row>
    <row r="32" spans="2:6" ht="17" thickBot="1" x14ac:dyDescent="0.25">
      <c r="C32" s="3" t="s">
        <v>28</v>
      </c>
    </row>
    <row r="33" spans="3:6" x14ac:dyDescent="0.2">
      <c r="C33" s="32" t="s">
        <v>24</v>
      </c>
      <c r="D33" s="33" t="s">
        <v>25</v>
      </c>
      <c r="E33" s="40" t="s">
        <v>29</v>
      </c>
    </row>
    <row r="34" spans="3:6" x14ac:dyDescent="0.2">
      <c r="C34" s="35">
        <v>0</v>
      </c>
      <c r="D34" s="31">
        <v>15000</v>
      </c>
      <c r="E34" s="36">
        <f>0.23*C$16</f>
        <v>4990.4391680000008</v>
      </c>
      <c r="F34" s="1" t="s">
        <v>30</v>
      </c>
    </row>
    <row r="35" spans="3:6" x14ac:dyDescent="0.2">
      <c r="C35" s="35">
        <v>15001</v>
      </c>
      <c r="D35" s="31">
        <v>28000</v>
      </c>
      <c r="E35" s="36">
        <f>3450+0.25*(C$16-D34)</f>
        <v>5124.3904000000002</v>
      </c>
      <c r="F35" s="1" t="s">
        <v>31</v>
      </c>
    </row>
    <row r="36" spans="3:6" x14ac:dyDescent="0.2">
      <c r="C36" s="35">
        <v>28001</v>
      </c>
      <c r="D36" s="31">
        <v>50000</v>
      </c>
      <c r="E36" s="36">
        <f>6700+0.35*(C$16-D35)</f>
        <v>4494.146560000001</v>
      </c>
      <c r="F36" s="1" t="s">
        <v>32</v>
      </c>
    </row>
    <row r="37" spans="3:6" ht="17" thickBot="1" x14ac:dyDescent="0.25">
      <c r="C37" s="37">
        <v>50001</v>
      </c>
      <c r="D37" s="38">
        <v>200000</v>
      </c>
      <c r="E37" s="41">
        <f>14400+0.43*(C$16-D36)</f>
        <v>2229.9514880000006</v>
      </c>
      <c r="F37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B722300C99644BBA4E01ACE20EBB6" ma:contentTypeVersion="8" ma:contentTypeDescription="Create a new document." ma:contentTypeScope="" ma:versionID="e7ebd0000f18172a68f9a48f286c2399">
  <xsd:schema xmlns:xsd="http://www.w3.org/2001/XMLSchema" xmlns:xs="http://www.w3.org/2001/XMLSchema" xmlns:p="http://schemas.microsoft.com/office/2006/metadata/properties" xmlns:ns2="dd4911ca-dc87-46a0-807b-aa3c895f9df8" targetNamespace="http://schemas.microsoft.com/office/2006/metadata/properties" ma:root="true" ma:fieldsID="47c73930cf6e0a3e6558fc90e9ea3c80" ns2:_="">
    <xsd:import namespace="dd4911ca-dc87-46a0-807b-aa3c895f9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11ca-dc87-46a0-807b-aa3c895f9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4324B4-6627-4DC0-8EA8-6561BFC65392}"/>
</file>

<file path=customXml/itemProps2.xml><?xml version="1.0" encoding="utf-8"?>
<ds:datastoreItem xmlns:ds="http://schemas.openxmlformats.org/officeDocument/2006/customXml" ds:itemID="{1898C332-17C7-4CCF-A433-85287E38FDD5}"/>
</file>

<file path=customXml/itemProps3.xml><?xml version="1.0" encoding="utf-8"?>
<ds:datastoreItem xmlns:ds="http://schemas.openxmlformats.org/officeDocument/2006/customXml" ds:itemID="{D42E1CDF-C5D8-4E0E-869A-CA6CFFAD6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PM</vt:lpstr>
      <vt:lpstr>SA</vt:lpstr>
      <vt:lpstr>FSD</vt:lpstr>
      <vt:lpstr>FSDJ</vt:lpstr>
      <vt:lpstr>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Domenico Sacca</cp:lastModifiedBy>
  <dcterms:created xsi:type="dcterms:W3CDTF">2021-05-17T08:10:31Z</dcterms:created>
  <dcterms:modified xsi:type="dcterms:W3CDTF">2025-12-03T07:21:32Z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0x010100DF7B722300C99644BBA4E01ACE20EBB6</vt:lpwstr>
  </property>
</Properties>
</file>