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ttorio\Desktop\ProgettoSistemiInformativi\Diagrammi\Capitolo6\"/>
    </mc:Choice>
  </mc:AlternateContent>
  <xr:revisionPtr revIDLastSave="0" documentId="13_ncr:1_{CC7FF369-EC45-4EC1-8003-0034456F6211}" xr6:coauthVersionLast="47" xr6:coauthVersionMax="47" xr10:uidLastSave="{00000000-0000-0000-0000-000000000000}"/>
  <bookViews>
    <workbookView xWindow="-110" yWindow="-110" windowWidth="21820" windowHeight="13900" activeTab="1" xr2:uid="{CFE5B68C-3E92-5C45-A3EA-5AB2DAB66206}"/>
  </bookViews>
  <sheets>
    <sheet name="GANTT progetto" sheetId="1" r:id="rId1"/>
    <sheet name="Plan Fase 1" sheetId="3" r:id="rId2"/>
    <sheet name="Gruppi Fase 1" sheetId="11" r:id="rId3"/>
    <sheet name="Plan Fase 2" sheetId="4" r:id="rId4"/>
    <sheet name="Gruppi Fase 2" sheetId="12" r:id="rId5"/>
    <sheet name="Riepilogo Impegni OP" sheetId="2" r:id="rId6"/>
    <sheet name="Riepilogo Impegni AP" sheetId="5" r:id="rId7"/>
    <sheet name="Costi Base" sheetId="6" r:id="rId8"/>
    <sheet name="Costi Anno 0" sheetId="7" r:id="rId9"/>
    <sheet name="Costi Anni 1-5" sheetId="9" r:id="rId10"/>
    <sheet name="Ricavi Anni 1-5" sheetId="10" r:id="rId11"/>
    <sheet name="Costi Ricavi" sheetId="8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54" i="3" l="1"/>
  <c r="AB51" i="3"/>
  <c r="AB48" i="3"/>
  <c r="AB47" i="3"/>
  <c r="AB46" i="3"/>
  <c r="AB45" i="3"/>
  <c r="AB43" i="3"/>
  <c r="AB42" i="3"/>
  <c r="AB88" i="3"/>
  <c r="AB89" i="3"/>
  <c r="AB92" i="3"/>
  <c r="AB98" i="3"/>
  <c r="AB93" i="3"/>
  <c r="AB79" i="3"/>
  <c r="AB80" i="3"/>
  <c r="D104" i="3"/>
  <c r="E104" i="3"/>
  <c r="F104" i="3"/>
  <c r="G104" i="3"/>
  <c r="H104" i="3"/>
  <c r="I104" i="3"/>
  <c r="J104" i="3"/>
  <c r="K104" i="3"/>
  <c r="L104" i="3"/>
  <c r="M104" i="3"/>
  <c r="N104" i="3"/>
  <c r="O104" i="3"/>
  <c r="P104" i="3"/>
  <c r="Q104" i="3"/>
  <c r="R104" i="3"/>
  <c r="S104" i="3"/>
  <c r="T104" i="3"/>
  <c r="U104" i="3"/>
  <c r="V104" i="3"/>
  <c r="W104" i="3"/>
  <c r="X104" i="3"/>
  <c r="Y104" i="3"/>
  <c r="Z104" i="3"/>
  <c r="AA104" i="3"/>
  <c r="C5" i="2"/>
  <c r="B37" i="3"/>
  <c r="H10" i="10"/>
  <c r="D10" i="10"/>
  <c r="E10" i="10"/>
  <c r="F10" i="10"/>
  <c r="G10" i="10"/>
  <c r="C10" i="10"/>
  <c r="B11" i="4"/>
  <c r="AB44" i="3" l="1"/>
  <c r="AB41" i="3"/>
  <c r="AB87" i="3"/>
  <c r="AB65" i="3"/>
  <c r="AB60" i="3"/>
  <c r="AB56" i="3"/>
  <c r="AB55" i="3"/>
  <c r="B38" i="3"/>
  <c r="D168" i="3" l="1"/>
  <c r="G9" i="10"/>
  <c r="F9" i="10"/>
  <c r="E9" i="10"/>
  <c r="D8" i="10"/>
  <c r="D9" i="10" s="1"/>
  <c r="C8" i="10"/>
  <c r="C9" i="10" s="1"/>
  <c r="D6" i="10"/>
  <c r="E6" i="10"/>
  <c r="F6" i="10"/>
  <c r="G6" i="10"/>
  <c r="C6" i="10"/>
  <c r="H7" i="9"/>
  <c r="C11" i="6"/>
  <c r="F11" i="6"/>
  <c r="E11" i="6"/>
  <c r="D11" i="6"/>
  <c r="F3" i="6"/>
  <c r="E3" i="6"/>
  <c r="D3" i="6"/>
  <c r="C3" i="6"/>
  <c r="C5" i="6" s="1"/>
  <c r="F3" i="8" l="1"/>
  <c r="H6" i="10"/>
  <c r="H9" i="10"/>
  <c r="H8" i="10"/>
  <c r="G3" i="8"/>
  <c r="E3" i="8"/>
  <c r="H5" i="10"/>
  <c r="C3" i="8"/>
  <c r="F4" i="6"/>
  <c r="F5" i="6"/>
  <c r="E4" i="6"/>
  <c r="E5" i="6"/>
  <c r="D4" i="6"/>
  <c r="D5" i="6"/>
  <c r="C4" i="6"/>
  <c r="J3" i="8" l="1"/>
  <c r="D3" i="8"/>
  <c r="E6" i="6"/>
  <c r="D6" i="6"/>
  <c r="F6" i="6"/>
  <c r="C6" i="6"/>
  <c r="H3" i="8" l="1"/>
  <c r="I58" i="4" l="1"/>
  <c r="H58" i="4"/>
  <c r="W57" i="4"/>
  <c r="V57" i="4"/>
  <c r="U57" i="4"/>
  <c r="T57" i="4"/>
  <c r="S57" i="4"/>
  <c r="R57" i="4"/>
  <c r="Q57" i="4"/>
  <c r="P57" i="4"/>
  <c r="O57" i="4"/>
  <c r="N57" i="4"/>
  <c r="M57" i="4"/>
  <c r="L57" i="4"/>
  <c r="K57" i="4"/>
  <c r="J57" i="4"/>
  <c r="I57" i="4"/>
  <c r="H57" i="4"/>
  <c r="G57" i="4"/>
  <c r="F57" i="4"/>
  <c r="E57" i="4"/>
  <c r="D57" i="4"/>
  <c r="W56" i="4"/>
  <c r="V56" i="4"/>
  <c r="U56" i="4"/>
  <c r="T56" i="4"/>
  <c r="S56" i="4"/>
  <c r="R56" i="4"/>
  <c r="Q56" i="4"/>
  <c r="P56" i="4"/>
  <c r="O56" i="4"/>
  <c r="N56" i="4"/>
  <c r="M56" i="4"/>
  <c r="M58" i="4" s="1"/>
  <c r="L56" i="4"/>
  <c r="K56" i="4"/>
  <c r="J56" i="4"/>
  <c r="I56" i="4"/>
  <c r="H56" i="4"/>
  <c r="G56" i="4"/>
  <c r="F56" i="4"/>
  <c r="E56" i="4"/>
  <c r="D56" i="4"/>
  <c r="W55" i="4"/>
  <c r="V55" i="4"/>
  <c r="U55" i="4"/>
  <c r="T55" i="4"/>
  <c r="S55" i="4"/>
  <c r="R55" i="4"/>
  <c r="Q55" i="4"/>
  <c r="P55" i="4"/>
  <c r="O55" i="4"/>
  <c r="N55" i="4"/>
  <c r="M55" i="4"/>
  <c r="L55" i="4"/>
  <c r="K55" i="4"/>
  <c r="J55" i="4"/>
  <c r="I55" i="4"/>
  <c r="H55" i="4"/>
  <c r="G55" i="4"/>
  <c r="F55" i="4"/>
  <c r="E55" i="4"/>
  <c r="D55" i="4"/>
  <c r="W54" i="4"/>
  <c r="V54" i="4"/>
  <c r="U54" i="4"/>
  <c r="U58" i="4" s="1"/>
  <c r="T54" i="4"/>
  <c r="S54" i="4"/>
  <c r="R54" i="4"/>
  <c r="Q54" i="4"/>
  <c r="Q58" i="4" s="1"/>
  <c r="P54" i="4"/>
  <c r="P58" i="4" s="1"/>
  <c r="O54" i="4"/>
  <c r="N54" i="4"/>
  <c r="M54" i="4"/>
  <c r="L54" i="4"/>
  <c r="K54" i="4"/>
  <c r="J54" i="4"/>
  <c r="I54" i="4"/>
  <c r="H54" i="4"/>
  <c r="G54" i="4"/>
  <c r="F54" i="4"/>
  <c r="E54" i="4"/>
  <c r="E58" i="4" s="1"/>
  <c r="D54" i="4"/>
  <c r="W53" i="4"/>
  <c r="W58" i="4" s="1"/>
  <c r="V53" i="4"/>
  <c r="U53" i="4"/>
  <c r="T53" i="4"/>
  <c r="S53" i="4"/>
  <c r="S58" i="4" s="1"/>
  <c r="R53" i="4"/>
  <c r="R58" i="4" s="1"/>
  <c r="Q53" i="4"/>
  <c r="P53" i="4"/>
  <c r="O53" i="4"/>
  <c r="O58" i="4" s="1"/>
  <c r="N53" i="4"/>
  <c r="M53" i="4"/>
  <c r="L53" i="4"/>
  <c r="K53" i="4"/>
  <c r="K58" i="4" s="1"/>
  <c r="J53" i="4"/>
  <c r="J58" i="4" s="1"/>
  <c r="I53" i="4"/>
  <c r="H53" i="4"/>
  <c r="G53" i="4"/>
  <c r="G58" i="4" s="1"/>
  <c r="F53" i="4"/>
  <c r="E53" i="4"/>
  <c r="D53" i="4"/>
  <c r="W49" i="4"/>
  <c r="V49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W40" i="4"/>
  <c r="V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W31" i="4"/>
  <c r="V31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W22" i="4"/>
  <c r="V22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B12" i="4"/>
  <c r="Y45" i="4" s="1"/>
  <c r="AA192" i="3"/>
  <c r="Z192" i="3"/>
  <c r="Y192" i="3"/>
  <c r="X192" i="3"/>
  <c r="W192" i="3"/>
  <c r="V192" i="3"/>
  <c r="U192" i="3"/>
  <c r="T192" i="3"/>
  <c r="S192" i="3"/>
  <c r="R192" i="3"/>
  <c r="Q192" i="3"/>
  <c r="P192" i="3"/>
  <c r="O192" i="3"/>
  <c r="N192" i="3"/>
  <c r="M192" i="3"/>
  <c r="L192" i="3"/>
  <c r="K192" i="3"/>
  <c r="J192" i="3"/>
  <c r="I192" i="3"/>
  <c r="H192" i="3"/>
  <c r="G192" i="3"/>
  <c r="F192" i="3"/>
  <c r="E192" i="3"/>
  <c r="D192" i="3"/>
  <c r="AA191" i="3"/>
  <c r="Z191" i="3"/>
  <c r="Y191" i="3"/>
  <c r="X191" i="3"/>
  <c r="W191" i="3"/>
  <c r="V191" i="3"/>
  <c r="U191" i="3"/>
  <c r="T191" i="3"/>
  <c r="S191" i="3"/>
  <c r="R191" i="3"/>
  <c r="Q191" i="3"/>
  <c r="P191" i="3"/>
  <c r="O191" i="3"/>
  <c r="N191" i="3"/>
  <c r="M191" i="3"/>
  <c r="L191" i="3"/>
  <c r="K191" i="3"/>
  <c r="J191" i="3"/>
  <c r="I191" i="3"/>
  <c r="H191" i="3"/>
  <c r="G191" i="3"/>
  <c r="F191" i="3"/>
  <c r="E191" i="3"/>
  <c r="D191" i="3"/>
  <c r="AA190" i="3"/>
  <c r="Z190" i="3"/>
  <c r="Y190" i="3"/>
  <c r="X190" i="3"/>
  <c r="W190" i="3"/>
  <c r="V190" i="3"/>
  <c r="U190" i="3"/>
  <c r="T190" i="3"/>
  <c r="S190" i="3"/>
  <c r="R190" i="3"/>
  <c r="Q190" i="3"/>
  <c r="P190" i="3"/>
  <c r="O190" i="3"/>
  <c r="N190" i="3"/>
  <c r="M190" i="3"/>
  <c r="L190" i="3"/>
  <c r="K190" i="3"/>
  <c r="J190" i="3"/>
  <c r="I190" i="3"/>
  <c r="H190" i="3"/>
  <c r="G190" i="3"/>
  <c r="F190" i="3"/>
  <c r="E190" i="3"/>
  <c r="D190" i="3"/>
  <c r="AA189" i="3"/>
  <c r="Z189" i="3"/>
  <c r="Y189" i="3"/>
  <c r="X189" i="3"/>
  <c r="W189" i="3"/>
  <c r="V189" i="3"/>
  <c r="U189" i="3"/>
  <c r="T189" i="3"/>
  <c r="S189" i="3"/>
  <c r="R189" i="3"/>
  <c r="Q189" i="3"/>
  <c r="P189" i="3"/>
  <c r="O189" i="3"/>
  <c r="N189" i="3"/>
  <c r="M189" i="3"/>
  <c r="L189" i="3"/>
  <c r="K189" i="3"/>
  <c r="J189" i="3"/>
  <c r="I189" i="3"/>
  <c r="H189" i="3"/>
  <c r="G189" i="3"/>
  <c r="F189" i="3"/>
  <c r="E189" i="3"/>
  <c r="D189" i="3"/>
  <c r="AA188" i="3"/>
  <c r="Z188" i="3"/>
  <c r="Y188" i="3"/>
  <c r="X188" i="3"/>
  <c r="W188" i="3"/>
  <c r="V188" i="3"/>
  <c r="U188" i="3"/>
  <c r="T188" i="3"/>
  <c r="S188" i="3"/>
  <c r="R188" i="3"/>
  <c r="Q188" i="3"/>
  <c r="P188" i="3"/>
  <c r="O188" i="3"/>
  <c r="N188" i="3"/>
  <c r="M188" i="3"/>
  <c r="L188" i="3"/>
  <c r="K188" i="3"/>
  <c r="J188" i="3"/>
  <c r="I188" i="3"/>
  <c r="H188" i="3"/>
  <c r="G188" i="3"/>
  <c r="F188" i="3"/>
  <c r="E188" i="3"/>
  <c r="D188" i="3"/>
  <c r="AA187" i="3"/>
  <c r="Z187" i="3"/>
  <c r="Y187" i="3"/>
  <c r="X187" i="3"/>
  <c r="W187" i="3"/>
  <c r="V187" i="3"/>
  <c r="U187" i="3"/>
  <c r="T187" i="3"/>
  <c r="S187" i="3"/>
  <c r="R187" i="3"/>
  <c r="Q187" i="3"/>
  <c r="P187" i="3"/>
  <c r="O187" i="3"/>
  <c r="N187" i="3"/>
  <c r="M187" i="3"/>
  <c r="L187" i="3"/>
  <c r="K187" i="3"/>
  <c r="J187" i="3"/>
  <c r="I187" i="3"/>
  <c r="H187" i="3"/>
  <c r="G187" i="3"/>
  <c r="F187" i="3"/>
  <c r="E187" i="3"/>
  <c r="D187" i="3"/>
  <c r="AA186" i="3"/>
  <c r="Z186" i="3"/>
  <c r="Y186" i="3"/>
  <c r="X186" i="3"/>
  <c r="W186" i="3"/>
  <c r="V186" i="3"/>
  <c r="U186" i="3"/>
  <c r="T186" i="3"/>
  <c r="S186" i="3"/>
  <c r="R186" i="3"/>
  <c r="Q186" i="3"/>
  <c r="P186" i="3"/>
  <c r="O186" i="3"/>
  <c r="N186" i="3"/>
  <c r="M186" i="3"/>
  <c r="L186" i="3"/>
  <c r="K186" i="3"/>
  <c r="J186" i="3"/>
  <c r="I186" i="3"/>
  <c r="H186" i="3"/>
  <c r="G186" i="3"/>
  <c r="F186" i="3"/>
  <c r="E186" i="3"/>
  <c r="D186" i="3"/>
  <c r="AA185" i="3"/>
  <c r="Z185" i="3"/>
  <c r="Y185" i="3"/>
  <c r="X185" i="3"/>
  <c r="W185" i="3"/>
  <c r="V185" i="3"/>
  <c r="U185" i="3"/>
  <c r="T185" i="3"/>
  <c r="S185" i="3"/>
  <c r="R185" i="3"/>
  <c r="Q185" i="3"/>
  <c r="P185" i="3"/>
  <c r="O185" i="3"/>
  <c r="N185" i="3"/>
  <c r="M185" i="3"/>
  <c r="L185" i="3"/>
  <c r="K185" i="3"/>
  <c r="J185" i="3"/>
  <c r="I185" i="3"/>
  <c r="H185" i="3"/>
  <c r="G185" i="3"/>
  <c r="F185" i="3"/>
  <c r="E185" i="3"/>
  <c r="D185" i="3"/>
  <c r="AA184" i="3"/>
  <c r="Z184" i="3"/>
  <c r="Y184" i="3"/>
  <c r="X184" i="3"/>
  <c r="W184" i="3"/>
  <c r="V184" i="3"/>
  <c r="U184" i="3"/>
  <c r="T184" i="3"/>
  <c r="S184" i="3"/>
  <c r="R184" i="3"/>
  <c r="Q184" i="3"/>
  <c r="P184" i="3"/>
  <c r="O184" i="3"/>
  <c r="N184" i="3"/>
  <c r="M184" i="3"/>
  <c r="L184" i="3"/>
  <c r="K184" i="3"/>
  <c r="J184" i="3"/>
  <c r="I184" i="3"/>
  <c r="H184" i="3"/>
  <c r="G184" i="3"/>
  <c r="F184" i="3"/>
  <c r="E184" i="3"/>
  <c r="D184" i="3"/>
  <c r="AA183" i="3"/>
  <c r="Z183" i="3"/>
  <c r="Y183" i="3"/>
  <c r="X183" i="3"/>
  <c r="W183" i="3"/>
  <c r="V183" i="3"/>
  <c r="U183" i="3"/>
  <c r="T183" i="3"/>
  <c r="S183" i="3"/>
  <c r="R183" i="3"/>
  <c r="Q183" i="3"/>
  <c r="P183" i="3"/>
  <c r="O183" i="3"/>
  <c r="N183" i="3"/>
  <c r="M183" i="3"/>
  <c r="L183" i="3"/>
  <c r="K183" i="3"/>
  <c r="J183" i="3"/>
  <c r="I183" i="3"/>
  <c r="H183" i="3"/>
  <c r="G183" i="3"/>
  <c r="F183" i="3"/>
  <c r="E183" i="3"/>
  <c r="D183" i="3"/>
  <c r="AA182" i="3"/>
  <c r="Z182" i="3"/>
  <c r="Y182" i="3"/>
  <c r="X182" i="3"/>
  <c r="W182" i="3"/>
  <c r="V182" i="3"/>
  <c r="U182" i="3"/>
  <c r="T182" i="3"/>
  <c r="S182" i="3"/>
  <c r="R182" i="3"/>
  <c r="Q182" i="3"/>
  <c r="P182" i="3"/>
  <c r="O182" i="3"/>
  <c r="N182" i="3"/>
  <c r="M182" i="3"/>
  <c r="L182" i="3"/>
  <c r="K182" i="3"/>
  <c r="J182" i="3"/>
  <c r="I182" i="3"/>
  <c r="H182" i="3"/>
  <c r="G182" i="3"/>
  <c r="F182" i="3"/>
  <c r="E182" i="3"/>
  <c r="D182" i="3"/>
  <c r="AA181" i="3"/>
  <c r="Z181" i="3"/>
  <c r="Y181" i="3"/>
  <c r="X181" i="3"/>
  <c r="W181" i="3"/>
  <c r="V181" i="3"/>
  <c r="U181" i="3"/>
  <c r="T181" i="3"/>
  <c r="S181" i="3"/>
  <c r="R181" i="3"/>
  <c r="Q181" i="3"/>
  <c r="P181" i="3"/>
  <c r="O181" i="3"/>
  <c r="N181" i="3"/>
  <c r="M181" i="3"/>
  <c r="L181" i="3"/>
  <c r="K181" i="3"/>
  <c r="J181" i="3"/>
  <c r="I181" i="3"/>
  <c r="H181" i="3"/>
  <c r="G181" i="3"/>
  <c r="F181" i="3"/>
  <c r="E181" i="3"/>
  <c r="D181" i="3"/>
  <c r="AA180" i="3"/>
  <c r="Z180" i="3"/>
  <c r="Y180" i="3"/>
  <c r="X180" i="3"/>
  <c r="W180" i="3"/>
  <c r="V180" i="3"/>
  <c r="U180" i="3"/>
  <c r="T180" i="3"/>
  <c r="S180" i="3"/>
  <c r="R180" i="3"/>
  <c r="Q180" i="3"/>
  <c r="P180" i="3"/>
  <c r="O180" i="3"/>
  <c r="N180" i="3"/>
  <c r="M180" i="3"/>
  <c r="L180" i="3"/>
  <c r="K180" i="3"/>
  <c r="J180" i="3"/>
  <c r="I180" i="3"/>
  <c r="H180" i="3"/>
  <c r="G180" i="3"/>
  <c r="F180" i="3"/>
  <c r="E180" i="3"/>
  <c r="D180" i="3"/>
  <c r="AA179" i="3"/>
  <c r="Z179" i="3"/>
  <c r="Y179" i="3"/>
  <c r="X179" i="3"/>
  <c r="W179" i="3"/>
  <c r="V179" i="3"/>
  <c r="U179" i="3"/>
  <c r="T179" i="3"/>
  <c r="S179" i="3"/>
  <c r="R179" i="3"/>
  <c r="Q179" i="3"/>
  <c r="P179" i="3"/>
  <c r="O179" i="3"/>
  <c r="N179" i="3"/>
  <c r="M179" i="3"/>
  <c r="L179" i="3"/>
  <c r="K179" i="3"/>
  <c r="J179" i="3"/>
  <c r="I179" i="3"/>
  <c r="H179" i="3"/>
  <c r="G179" i="3"/>
  <c r="F179" i="3"/>
  <c r="E179" i="3"/>
  <c r="D179" i="3"/>
  <c r="AA178" i="3"/>
  <c r="Z178" i="3"/>
  <c r="Y178" i="3"/>
  <c r="X178" i="3"/>
  <c r="W178" i="3"/>
  <c r="V178" i="3"/>
  <c r="U178" i="3"/>
  <c r="T178" i="3"/>
  <c r="S178" i="3"/>
  <c r="R178" i="3"/>
  <c r="Q178" i="3"/>
  <c r="P178" i="3"/>
  <c r="O178" i="3"/>
  <c r="N178" i="3"/>
  <c r="M178" i="3"/>
  <c r="L178" i="3"/>
  <c r="K178" i="3"/>
  <c r="J178" i="3"/>
  <c r="I178" i="3"/>
  <c r="H178" i="3"/>
  <c r="G178" i="3"/>
  <c r="F178" i="3"/>
  <c r="E178" i="3"/>
  <c r="D178" i="3"/>
  <c r="AA177" i="3"/>
  <c r="Z177" i="3"/>
  <c r="Y177" i="3"/>
  <c r="X177" i="3"/>
  <c r="W177" i="3"/>
  <c r="V177" i="3"/>
  <c r="U177" i="3"/>
  <c r="T177" i="3"/>
  <c r="S177" i="3"/>
  <c r="R177" i="3"/>
  <c r="Q177" i="3"/>
  <c r="P177" i="3"/>
  <c r="O177" i="3"/>
  <c r="N177" i="3"/>
  <c r="M177" i="3"/>
  <c r="L177" i="3"/>
  <c r="K177" i="3"/>
  <c r="J177" i="3"/>
  <c r="I177" i="3"/>
  <c r="H177" i="3"/>
  <c r="G177" i="3"/>
  <c r="F177" i="3"/>
  <c r="E177" i="3"/>
  <c r="D177" i="3"/>
  <c r="AA176" i="3"/>
  <c r="Z176" i="3"/>
  <c r="Y176" i="3"/>
  <c r="X176" i="3"/>
  <c r="W176" i="3"/>
  <c r="V176" i="3"/>
  <c r="U176" i="3"/>
  <c r="T176" i="3"/>
  <c r="S176" i="3"/>
  <c r="R176" i="3"/>
  <c r="Q176" i="3"/>
  <c r="P176" i="3"/>
  <c r="O176" i="3"/>
  <c r="N176" i="3"/>
  <c r="M176" i="3"/>
  <c r="L176" i="3"/>
  <c r="K176" i="3"/>
  <c r="J176" i="3"/>
  <c r="I176" i="3"/>
  <c r="H176" i="3"/>
  <c r="G176" i="3"/>
  <c r="F176" i="3"/>
  <c r="E176" i="3"/>
  <c r="D176" i="3"/>
  <c r="AA175" i="3"/>
  <c r="Z175" i="3"/>
  <c r="Y175" i="3"/>
  <c r="X175" i="3"/>
  <c r="W175" i="3"/>
  <c r="V175" i="3"/>
  <c r="U175" i="3"/>
  <c r="T175" i="3"/>
  <c r="S175" i="3"/>
  <c r="R175" i="3"/>
  <c r="Q175" i="3"/>
  <c r="P175" i="3"/>
  <c r="O175" i="3"/>
  <c r="N175" i="3"/>
  <c r="M175" i="3"/>
  <c r="L175" i="3"/>
  <c r="K175" i="3"/>
  <c r="J175" i="3"/>
  <c r="I175" i="3"/>
  <c r="H175" i="3"/>
  <c r="G175" i="3"/>
  <c r="F175" i="3"/>
  <c r="E175" i="3"/>
  <c r="D175" i="3"/>
  <c r="AA174" i="3"/>
  <c r="Z174" i="3"/>
  <c r="Y174" i="3"/>
  <c r="X174" i="3"/>
  <c r="W174" i="3"/>
  <c r="V174" i="3"/>
  <c r="U174" i="3"/>
  <c r="T174" i="3"/>
  <c r="S174" i="3"/>
  <c r="R174" i="3"/>
  <c r="Q174" i="3"/>
  <c r="P174" i="3"/>
  <c r="O174" i="3"/>
  <c r="N174" i="3"/>
  <c r="M174" i="3"/>
  <c r="L174" i="3"/>
  <c r="K174" i="3"/>
  <c r="J174" i="3"/>
  <c r="I174" i="3"/>
  <c r="H174" i="3"/>
  <c r="G174" i="3"/>
  <c r="F174" i="3"/>
  <c r="E174" i="3"/>
  <c r="D174" i="3"/>
  <c r="AA173" i="3"/>
  <c r="Z173" i="3"/>
  <c r="Y173" i="3"/>
  <c r="X173" i="3"/>
  <c r="W173" i="3"/>
  <c r="V173" i="3"/>
  <c r="U173" i="3"/>
  <c r="T173" i="3"/>
  <c r="S173" i="3"/>
  <c r="R173" i="3"/>
  <c r="Q173" i="3"/>
  <c r="P173" i="3"/>
  <c r="O173" i="3"/>
  <c r="N173" i="3"/>
  <c r="M173" i="3"/>
  <c r="L173" i="3"/>
  <c r="K173" i="3"/>
  <c r="J173" i="3"/>
  <c r="I173" i="3"/>
  <c r="H173" i="3"/>
  <c r="G173" i="3"/>
  <c r="F173" i="3"/>
  <c r="E173" i="3"/>
  <c r="D173" i="3"/>
  <c r="AA172" i="3"/>
  <c r="Z172" i="3"/>
  <c r="Y172" i="3"/>
  <c r="X172" i="3"/>
  <c r="W172" i="3"/>
  <c r="V172" i="3"/>
  <c r="U172" i="3"/>
  <c r="T172" i="3"/>
  <c r="S172" i="3"/>
  <c r="R172" i="3"/>
  <c r="Q172" i="3"/>
  <c r="P172" i="3"/>
  <c r="O172" i="3"/>
  <c r="N172" i="3"/>
  <c r="M172" i="3"/>
  <c r="L172" i="3"/>
  <c r="K172" i="3"/>
  <c r="J172" i="3"/>
  <c r="I172" i="3"/>
  <c r="H172" i="3"/>
  <c r="G172" i="3"/>
  <c r="F172" i="3"/>
  <c r="E172" i="3"/>
  <c r="D172" i="3"/>
  <c r="AA171" i="3"/>
  <c r="Z171" i="3"/>
  <c r="Y171" i="3"/>
  <c r="X171" i="3"/>
  <c r="W171" i="3"/>
  <c r="V171" i="3"/>
  <c r="U171" i="3"/>
  <c r="T171" i="3"/>
  <c r="S171" i="3"/>
  <c r="R171" i="3"/>
  <c r="Q171" i="3"/>
  <c r="P171" i="3"/>
  <c r="O171" i="3"/>
  <c r="N171" i="3"/>
  <c r="M171" i="3"/>
  <c r="L171" i="3"/>
  <c r="K171" i="3"/>
  <c r="J171" i="3"/>
  <c r="I171" i="3"/>
  <c r="H171" i="3"/>
  <c r="G171" i="3"/>
  <c r="F171" i="3"/>
  <c r="E171" i="3"/>
  <c r="D171" i="3"/>
  <c r="AA170" i="3"/>
  <c r="Z170" i="3"/>
  <c r="Y170" i="3"/>
  <c r="X170" i="3"/>
  <c r="W170" i="3"/>
  <c r="V170" i="3"/>
  <c r="U170" i="3"/>
  <c r="T170" i="3"/>
  <c r="S170" i="3"/>
  <c r="R170" i="3"/>
  <c r="Q170" i="3"/>
  <c r="P170" i="3"/>
  <c r="O170" i="3"/>
  <c r="N170" i="3"/>
  <c r="M170" i="3"/>
  <c r="L170" i="3"/>
  <c r="K170" i="3"/>
  <c r="J170" i="3"/>
  <c r="I170" i="3"/>
  <c r="H170" i="3"/>
  <c r="G170" i="3"/>
  <c r="F170" i="3"/>
  <c r="E170" i="3"/>
  <c r="D170" i="3"/>
  <c r="AA169" i="3"/>
  <c r="Z169" i="3"/>
  <c r="Y169" i="3"/>
  <c r="X169" i="3"/>
  <c r="W169" i="3"/>
  <c r="V169" i="3"/>
  <c r="U169" i="3"/>
  <c r="T169" i="3"/>
  <c r="S169" i="3"/>
  <c r="R169" i="3"/>
  <c r="Q169" i="3"/>
  <c r="P169" i="3"/>
  <c r="O169" i="3"/>
  <c r="N169" i="3"/>
  <c r="M169" i="3"/>
  <c r="L169" i="3"/>
  <c r="K169" i="3"/>
  <c r="J169" i="3"/>
  <c r="I169" i="3"/>
  <c r="H169" i="3"/>
  <c r="G169" i="3"/>
  <c r="F169" i="3"/>
  <c r="E169" i="3"/>
  <c r="D169" i="3"/>
  <c r="AA168" i="3"/>
  <c r="Z168" i="3"/>
  <c r="Y168" i="3"/>
  <c r="X168" i="3"/>
  <c r="W168" i="3"/>
  <c r="V168" i="3"/>
  <c r="U168" i="3"/>
  <c r="T168" i="3"/>
  <c r="S168" i="3"/>
  <c r="R168" i="3"/>
  <c r="Q168" i="3"/>
  <c r="P168" i="3"/>
  <c r="O168" i="3"/>
  <c r="N168" i="3"/>
  <c r="M168" i="3"/>
  <c r="L168" i="3"/>
  <c r="K168" i="3"/>
  <c r="J168" i="3"/>
  <c r="I168" i="3"/>
  <c r="H168" i="3"/>
  <c r="G168" i="3"/>
  <c r="F168" i="3"/>
  <c r="E168" i="3"/>
  <c r="AA163" i="3"/>
  <c r="Z163" i="3"/>
  <c r="Y163" i="3"/>
  <c r="X163" i="3"/>
  <c r="W163" i="3"/>
  <c r="V163" i="3"/>
  <c r="U163" i="3"/>
  <c r="T163" i="3"/>
  <c r="S163" i="3"/>
  <c r="R163" i="3"/>
  <c r="Q163" i="3"/>
  <c r="P163" i="3"/>
  <c r="O163" i="3"/>
  <c r="N163" i="3"/>
  <c r="M163" i="3"/>
  <c r="L163" i="3"/>
  <c r="K163" i="3"/>
  <c r="J163" i="3"/>
  <c r="I163" i="3"/>
  <c r="H163" i="3"/>
  <c r="G163" i="3"/>
  <c r="F163" i="3"/>
  <c r="E163" i="3"/>
  <c r="D163" i="3"/>
  <c r="AA133" i="3"/>
  <c r="Z133" i="3"/>
  <c r="Y133" i="3"/>
  <c r="X133" i="3"/>
  <c r="W133" i="3"/>
  <c r="V133" i="3"/>
  <c r="U133" i="3"/>
  <c r="T133" i="3"/>
  <c r="S133" i="3"/>
  <c r="R133" i="3"/>
  <c r="Q133" i="3"/>
  <c r="P133" i="3"/>
  <c r="O133" i="3"/>
  <c r="N133" i="3"/>
  <c r="M133" i="3"/>
  <c r="L133" i="3"/>
  <c r="K133" i="3"/>
  <c r="J133" i="3"/>
  <c r="I133" i="3"/>
  <c r="H133" i="3"/>
  <c r="G133" i="3"/>
  <c r="F133" i="3"/>
  <c r="E133" i="3"/>
  <c r="D133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I71" i="3"/>
  <c r="H71" i="3"/>
  <c r="G71" i="3"/>
  <c r="F71" i="3"/>
  <c r="E71" i="3"/>
  <c r="D71" i="3"/>
  <c r="J193" i="3" l="1"/>
  <c r="U193" i="3"/>
  <c r="R193" i="3"/>
  <c r="Z193" i="3"/>
  <c r="X18" i="4"/>
  <c r="AB178" i="3"/>
  <c r="L193" i="3"/>
  <c r="T193" i="3"/>
  <c r="D193" i="3"/>
  <c r="M193" i="3"/>
  <c r="I193" i="3"/>
  <c r="Q193" i="3"/>
  <c r="Y193" i="3"/>
  <c r="E193" i="3"/>
  <c r="AA28" i="4"/>
  <c r="K193" i="3"/>
  <c r="AB58" i="3"/>
  <c r="AB97" i="3"/>
  <c r="AB132" i="3"/>
  <c r="AA19" i="4"/>
  <c r="AA37" i="4"/>
  <c r="X45" i="4"/>
  <c r="Z57" i="4"/>
  <c r="AB78" i="3"/>
  <c r="AB116" i="3"/>
  <c r="Z53" i="4"/>
  <c r="AB50" i="3"/>
  <c r="AB124" i="3"/>
  <c r="AB159" i="3"/>
  <c r="S193" i="3"/>
  <c r="AB57" i="3"/>
  <c r="AB67" i="3"/>
  <c r="AB142" i="3"/>
  <c r="F193" i="3"/>
  <c r="N193" i="3"/>
  <c r="V193" i="3"/>
  <c r="AB177" i="3"/>
  <c r="AB20" i="4"/>
  <c r="X27" i="4"/>
  <c r="AB38" i="4"/>
  <c r="D58" i="4"/>
  <c r="L58" i="4"/>
  <c r="T58" i="4"/>
  <c r="X56" i="4"/>
  <c r="Z55" i="4"/>
  <c r="AB54" i="4"/>
  <c r="Z48" i="4"/>
  <c r="X47" i="4"/>
  <c r="AB45" i="4"/>
  <c r="Z44" i="4"/>
  <c r="Z39" i="4"/>
  <c r="X38" i="4"/>
  <c r="AB36" i="4"/>
  <c r="Z35" i="4"/>
  <c r="Z30" i="4"/>
  <c r="X29" i="4"/>
  <c r="AB27" i="4"/>
  <c r="Z26" i="4"/>
  <c r="Z21" i="4"/>
  <c r="X20" i="4"/>
  <c r="AB18" i="4"/>
  <c r="Z17" i="4"/>
  <c r="Y55" i="4"/>
  <c r="AA54" i="4"/>
  <c r="Y48" i="4"/>
  <c r="AA45" i="4"/>
  <c r="Y44" i="4"/>
  <c r="Y39" i="4"/>
  <c r="AA36" i="4"/>
  <c r="Y35" i="4"/>
  <c r="Y30" i="4"/>
  <c r="AA27" i="4"/>
  <c r="Y26" i="4"/>
  <c r="Y21" i="4"/>
  <c r="AA18" i="4"/>
  <c r="Y17" i="4"/>
  <c r="AB57" i="4"/>
  <c r="X55" i="4"/>
  <c r="Z54" i="4"/>
  <c r="AB53" i="4"/>
  <c r="X48" i="4"/>
  <c r="AB46" i="4"/>
  <c r="Z45" i="4"/>
  <c r="X44" i="4"/>
  <c r="X39" i="4"/>
  <c r="AB37" i="4"/>
  <c r="Z36" i="4"/>
  <c r="X35" i="4"/>
  <c r="X30" i="4"/>
  <c r="AB28" i="4"/>
  <c r="Z27" i="4"/>
  <c r="X26" i="4"/>
  <c r="X21" i="4"/>
  <c r="AB19" i="4"/>
  <c r="Z18" i="4"/>
  <c r="X17" i="4"/>
  <c r="Y54" i="4"/>
  <c r="AA53" i="4"/>
  <c r="AA46" i="4"/>
  <c r="Y57" i="4"/>
  <c r="AA56" i="4"/>
  <c r="Y53" i="4"/>
  <c r="AA47" i="4"/>
  <c r="Y46" i="4"/>
  <c r="AA38" i="4"/>
  <c r="Y37" i="4"/>
  <c r="AA29" i="4"/>
  <c r="Y28" i="4"/>
  <c r="AA20" i="4"/>
  <c r="Y19" i="4"/>
  <c r="Y47" i="4"/>
  <c r="AA44" i="4"/>
  <c r="AA39" i="4"/>
  <c r="X57" i="4"/>
  <c r="Z56" i="4"/>
  <c r="AB55" i="4"/>
  <c r="X53" i="4"/>
  <c r="AB48" i="4"/>
  <c r="Z47" i="4"/>
  <c r="X46" i="4"/>
  <c r="AB44" i="4"/>
  <c r="AB39" i="4"/>
  <c r="Z38" i="4"/>
  <c r="X37" i="4"/>
  <c r="AB35" i="4"/>
  <c r="AB30" i="4"/>
  <c r="Z29" i="4"/>
  <c r="X28" i="4"/>
  <c r="AB26" i="4"/>
  <c r="AB21" i="4"/>
  <c r="Z20" i="4"/>
  <c r="X19" i="4"/>
  <c r="AB17" i="4"/>
  <c r="Y56" i="4"/>
  <c r="AA55" i="4"/>
  <c r="AA48" i="4"/>
  <c r="Y38" i="4"/>
  <c r="AA35" i="4"/>
  <c r="AA30" i="4"/>
  <c r="Y29" i="4"/>
  <c r="AA26" i="4"/>
  <c r="AA21" i="4"/>
  <c r="Y20" i="4"/>
  <c r="AA17" i="4"/>
  <c r="AA57" i="4"/>
  <c r="AB158" i="3"/>
  <c r="X36" i="4"/>
  <c r="AB86" i="3"/>
  <c r="Y18" i="4"/>
  <c r="Y36" i="4"/>
  <c r="AB131" i="3"/>
  <c r="Z19" i="4"/>
  <c r="AB108" i="3"/>
  <c r="AB143" i="3"/>
  <c r="G193" i="3"/>
  <c r="O193" i="3"/>
  <c r="W193" i="3"/>
  <c r="Y27" i="4"/>
  <c r="Z46" i="4"/>
  <c r="X54" i="4"/>
  <c r="AB189" i="3"/>
  <c r="AB181" i="3"/>
  <c r="AB173" i="3"/>
  <c r="AB162" i="3"/>
  <c r="AB154" i="3"/>
  <c r="AB146" i="3"/>
  <c r="AB138" i="3"/>
  <c r="AB127" i="3"/>
  <c r="AB119" i="3"/>
  <c r="AB111" i="3"/>
  <c r="AB91" i="3"/>
  <c r="AB83" i="3"/>
  <c r="AB62" i="3"/>
  <c r="AB172" i="3"/>
  <c r="AB161" i="3"/>
  <c r="AB118" i="3"/>
  <c r="AB100" i="3"/>
  <c r="AB90" i="3"/>
  <c r="AB82" i="3"/>
  <c r="AB70" i="3"/>
  <c r="AB61" i="3"/>
  <c r="AB52" i="3"/>
  <c r="AB188" i="3"/>
  <c r="AB187" i="3"/>
  <c r="AB179" i="3"/>
  <c r="AB171" i="3"/>
  <c r="AB152" i="3"/>
  <c r="AB144" i="3"/>
  <c r="AB125" i="3"/>
  <c r="AB117" i="3"/>
  <c r="AB109" i="3"/>
  <c r="AB99" i="3"/>
  <c r="AB81" i="3"/>
  <c r="AB69" i="3"/>
  <c r="AB192" i="3"/>
  <c r="AB184" i="3"/>
  <c r="AB176" i="3"/>
  <c r="AB168" i="3"/>
  <c r="AB157" i="3"/>
  <c r="AB149" i="3"/>
  <c r="AB141" i="3"/>
  <c r="AB122" i="3"/>
  <c r="AB114" i="3"/>
  <c r="AB95" i="3"/>
  <c r="AB76" i="3"/>
  <c r="AB66" i="3"/>
  <c r="AB182" i="3"/>
  <c r="AB155" i="3"/>
  <c r="AB139" i="3"/>
  <c r="AB128" i="3"/>
  <c r="AB102" i="3"/>
  <c r="AB191" i="3"/>
  <c r="AB148" i="3"/>
  <c r="AB129" i="3"/>
  <c r="AB121" i="3"/>
  <c r="AB113" i="3"/>
  <c r="AB103" i="3"/>
  <c r="AB94" i="3"/>
  <c r="AB85" i="3"/>
  <c r="AB75" i="3"/>
  <c r="AB64" i="3"/>
  <c r="AB53" i="3"/>
  <c r="AB174" i="3"/>
  <c r="AB147" i="3"/>
  <c r="AB112" i="3"/>
  <c r="AB151" i="3"/>
  <c r="AB49" i="3"/>
  <c r="AB29" i="4"/>
  <c r="AA193" i="3"/>
  <c r="AB169" i="3"/>
  <c r="Z37" i="4"/>
  <c r="H193" i="3"/>
  <c r="P193" i="3"/>
  <c r="X193" i="3"/>
  <c r="AB185" i="3"/>
  <c r="Z28" i="4"/>
  <c r="AB47" i="4"/>
  <c r="F58" i="4"/>
  <c r="N58" i="4"/>
  <c r="V58" i="4"/>
  <c r="AB56" i="4"/>
  <c r="AB59" i="3" l="1"/>
  <c r="AB140" i="3"/>
  <c r="AB101" i="3"/>
  <c r="AB120" i="3"/>
  <c r="AB123" i="3"/>
  <c r="AC36" i="4"/>
  <c r="AA58" i="4"/>
  <c r="L4" i="12" s="1"/>
  <c r="M4" i="12" s="1"/>
  <c r="AB115" i="3"/>
  <c r="AB63" i="3"/>
  <c r="AC48" i="4"/>
  <c r="AA40" i="4"/>
  <c r="G11" i="2" s="1"/>
  <c r="G11" i="5" s="1"/>
  <c r="AC35" i="4"/>
  <c r="AC19" i="4"/>
  <c r="AC37" i="4"/>
  <c r="Y22" i="4"/>
  <c r="E9" i="2" s="1"/>
  <c r="E9" i="5" s="1"/>
  <c r="AC20" i="4"/>
  <c r="AC38" i="4"/>
  <c r="AC56" i="4"/>
  <c r="Y49" i="4"/>
  <c r="E12" i="2" s="1"/>
  <c r="E12" i="5" s="1"/>
  <c r="AC18" i="4"/>
  <c r="AB74" i="3"/>
  <c r="AB190" i="3"/>
  <c r="AB167" i="3"/>
  <c r="AB110" i="3"/>
  <c r="AB156" i="3"/>
  <c r="AB186" i="3"/>
  <c r="AB150" i="3"/>
  <c r="X49" i="4"/>
  <c r="AC44" i="4"/>
  <c r="Z31" i="4"/>
  <c r="F10" i="2" s="1"/>
  <c r="F10" i="5" s="1"/>
  <c r="AB49" i="4"/>
  <c r="H12" i="2" s="1"/>
  <c r="H12" i="5" s="1"/>
  <c r="AC30" i="4"/>
  <c r="AB175" i="3"/>
  <c r="AB126" i="3"/>
  <c r="AC54" i="4"/>
  <c r="AA22" i="4"/>
  <c r="G9" i="2" s="1"/>
  <c r="G9" i="5" s="1"/>
  <c r="AC28" i="4"/>
  <c r="AC46" i="4"/>
  <c r="AA49" i="4"/>
  <c r="G12" i="2" s="1"/>
  <c r="G12" i="5" s="1"/>
  <c r="X22" i="4"/>
  <c r="AC17" i="4"/>
  <c r="X40" i="4"/>
  <c r="AB58" i="4"/>
  <c r="N4" i="12" s="1"/>
  <c r="O4" i="12" s="1"/>
  <c r="AC29" i="4"/>
  <c r="AC47" i="4"/>
  <c r="AB77" i="3"/>
  <c r="X31" i="4"/>
  <c r="AC26" i="4"/>
  <c r="AB180" i="3"/>
  <c r="AB160" i="3"/>
  <c r="AB31" i="4"/>
  <c r="H10" i="2" s="1"/>
  <c r="H10" i="5" s="1"/>
  <c r="AB183" i="3"/>
  <c r="AB137" i="3"/>
  <c r="AB130" i="3"/>
  <c r="AC27" i="4"/>
  <c r="AC57" i="4"/>
  <c r="Z58" i="4"/>
  <c r="J4" i="12" s="1"/>
  <c r="K4" i="12" s="1"/>
  <c r="Y31" i="4"/>
  <c r="E10" i="2" s="1"/>
  <c r="E10" i="5" s="1"/>
  <c r="AB145" i="3"/>
  <c r="Y58" i="4"/>
  <c r="H4" i="12" s="1"/>
  <c r="I4" i="12" s="1"/>
  <c r="AC55" i="4"/>
  <c r="Y40" i="4"/>
  <c r="E11" i="2" s="1"/>
  <c r="E11" i="5" s="1"/>
  <c r="Z22" i="4"/>
  <c r="F9" i="2" s="1"/>
  <c r="F9" i="5" s="1"/>
  <c r="Z40" i="4"/>
  <c r="F11" i="2" s="1"/>
  <c r="F11" i="5" s="1"/>
  <c r="AC45" i="4"/>
  <c r="Z49" i="4"/>
  <c r="F12" i="2" s="1"/>
  <c r="F12" i="5" s="1"/>
  <c r="AB96" i="3"/>
  <c r="AB84" i="3"/>
  <c r="AB107" i="3"/>
  <c r="AB68" i="3"/>
  <c r="AB170" i="3"/>
  <c r="F5" i="11" s="1"/>
  <c r="G5" i="11" s="1"/>
  <c r="AB153" i="3"/>
  <c r="AA31" i="4"/>
  <c r="G10" i="2" s="1"/>
  <c r="G10" i="5" s="1"/>
  <c r="AB22" i="4"/>
  <c r="H9" i="2" s="1"/>
  <c r="H9" i="5" s="1"/>
  <c r="AB40" i="4"/>
  <c r="H11" i="2" s="1"/>
  <c r="H11" i="5" s="1"/>
  <c r="AC53" i="4"/>
  <c r="X58" i="4"/>
  <c r="F4" i="12" s="1"/>
  <c r="AC21" i="4"/>
  <c r="AC39" i="4"/>
  <c r="AB71" i="3" l="1"/>
  <c r="C9" i="2" s="1"/>
  <c r="C9" i="5" s="1"/>
  <c r="F4" i="11"/>
  <c r="G4" i="11" s="1"/>
  <c r="AB104" i="3"/>
  <c r="C10" i="2" s="1"/>
  <c r="C10" i="5" s="1"/>
  <c r="F6" i="11"/>
  <c r="G6" i="11" s="1"/>
  <c r="F7" i="11"/>
  <c r="G7" i="11" s="1"/>
  <c r="G4" i="12"/>
  <c r="P4" i="12"/>
  <c r="Q4" i="12" s="1"/>
  <c r="F4" i="9"/>
  <c r="F5" i="9" s="1"/>
  <c r="F6" i="9"/>
  <c r="G6" i="9"/>
  <c r="G4" i="9"/>
  <c r="G5" i="9" s="1"/>
  <c r="E6" i="9"/>
  <c r="E4" i="9"/>
  <c r="E5" i="9" s="1"/>
  <c r="D4" i="9"/>
  <c r="D5" i="9" s="1"/>
  <c r="D6" i="9"/>
  <c r="AB133" i="3"/>
  <c r="C11" i="2" s="1"/>
  <c r="C11" i="5" s="1"/>
  <c r="AB193" i="3"/>
  <c r="H13" i="5"/>
  <c r="E13" i="5"/>
  <c r="G13" i="5"/>
  <c r="F13" i="5"/>
  <c r="E13" i="2"/>
  <c r="H13" i="2"/>
  <c r="AC40" i="4"/>
  <c r="D11" i="2"/>
  <c r="AB163" i="3"/>
  <c r="C12" i="2" s="1"/>
  <c r="D10" i="2"/>
  <c r="AC31" i="4"/>
  <c r="D9" i="2"/>
  <c r="AC22" i="4"/>
  <c r="AC58" i="4"/>
  <c r="F13" i="2"/>
  <c r="G13" i="2"/>
  <c r="AC49" i="4"/>
  <c r="D12" i="2"/>
  <c r="D12" i="5" s="1"/>
  <c r="F8" i="11" l="1"/>
  <c r="G8" i="11" s="1"/>
  <c r="D13" i="2"/>
  <c r="D9" i="5"/>
  <c r="I10" i="2"/>
  <c r="D10" i="5"/>
  <c r="I10" i="5" s="1"/>
  <c r="C13" i="2"/>
  <c r="C12" i="5"/>
  <c r="I11" i="2"/>
  <c r="D11" i="5"/>
  <c r="I12" i="2"/>
  <c r="I9" i="2"/>
  <c r="I13" i="2" l="1"/>
  <c r="I11" i="5"/>
  <c r="C6" i="9"/>
  <c r="H6" i="9" s="1"/>
  <c r="C4" i="9"/>
  <c r="C4" i="7"/>
  <c r="C6" i="7"/>
  <c r="I12" i="5"/>
  <c r="C13" i="5"/>
  <c r="D13" i="5"/>
  <c r="I9" i="5"/>
  <c r="C5" i="7" l="1"/>
  <c r="C8" i="7" s="1"/>
  <c r="C5" i="9"/>
  <c r="H5" i="9" s="1"/>
  <c r="H4" i="9"/>
  <c r="I13" i="5"/>
  <c r="C9" i="7" l="1"/>
  <c r="C10" i="7" s="1"/>
  <c r="C12" i="7" s="1"/>
  <c r="C11" i="7" l="1"/>
  <c r="C11" i="9" s="1"/>
  <c r="C41" i="8"/>
  <c r="C13" i="9" l="1"/>
  <c r="D11" i="9" s="1"/>
  <c r="E8" i="9"/>
  <c r="E9" i="9" s="1"/>
  <c r="E4" i="8" s="1"/>
  <c r="C8" i="9"/>
  <c r="F8" i="9"/>
  <c r="F9" i="9" s="1"/>
  <c r="F4" i="8" s="1"/>
  <c r="D8" i="9"/>
  <c r="D9" i="9" s="1"/>
  <c r="D4" i="8" s="1"/>
  <c r="G8" i="9"/>
  <c r="G9" i="9" s="1"/>
  <c r="G4" i="8" s="1"/>
  <c r="H8" i="9" l="1"/>
  <c r="H9" i="9" s="1"/>
  <c r="C9" i="9"/>
  <c r="C4" i="8" s="1"/>
  <c r="E11" i="9"/>
  <c r="D5" i="8"/>
  <c r="D6" i="8" s="1"/>
  <c r="D7" i="8" s="1"/>
  <c r="C5" i="8" l="1"/>
  <c r="C6" i="8" s="1"/>
  <c r="D8" i="8"/>
  <c r="D9" i="8"/>
  <c r="D10" i="8"/>
  <c r="D11" i="8" s="1"/>
  <c r="F11" i="9"/>
  <c r="E5" i="8"/>
  <c r="E6" i="8" s="1"/>
  <c r="E7" i="8" s="1"/>
  <c r="H4" i="8"/>
  <c r="J4" i="8"/>
  <c r="D12" i="8" l="1"/>
  <c r="D13" i="8" s="1"/>
  <c r="F5" i="8"/>
  <c r="F6" i="8" s="1"/>
  <c r="F7" i="8" s="1"/>
  <c r="G11" i="9"/>
  <c r="G5" i="8" s="1"/>
  <c r="E10" i="8"/>
  <c r="E11" i="8" s="1"/>
  <c r="E9" i="8"/>
  <c r="E8" i="8"/>
  <c r="E12" i="8" l="1"/>
  <c r="E13" i="8" s="1"/>
  <c r="H11" i="9"/>
  <c r="G6" i="8"/>
  <c r="H6" i="8" s="1"/>
  <c r="J5" i="8"/>
  <c r="F10" i="8"/>
  <c r="F11" i="8" s="1"/>
  <c r="F9" i="8"/>
  <c r="F8" i="8"/>
  <c r="H5" i="8"/>
  <c r="C7" i="8"/>
  <c r="F12" i="8" l="1"/>
  <c r="F13" i="8" s="1"/>
  <c r="C8" i="8"/>
  <c r="C9" i="8"/>
  <c r="C10" i="8"/>
  <c r="G7" i="8"/>
  <c r="J6" i="8"/>
  <c r="J7" i="8" l="1"/>
  <c r="G8" i="8"/>
  <c r="J8" i="8" s="1"/>
  <c r="G10" i="8"/>
  <c r="H10" i="8" s="1"/>
  <c r="G9" i="8"/>
  <c r="J9" i="8" s="1"/>
  <c r="H7" i="8"/>
  <c r="H8" i="8" s="1"/>
  <c r="C11" i="8"/>
  <c r="C12" i="8" l="1"/>
  <c r="C14" i="8" s="1"/>
  <c r="J10" i="8"/>
  <c r="G11" i="8"/>
  <c r="H9" i="8"/>
  <c r="D14" i="8" l="1"/>
  <c r="E14" i="8" s="1"/>
  <c r="F14" i="8" s="1"/>
  <c r="J11" i="8"/>
  <c r="G12" i="8"/>
  <c r="C13" i="8"/>
  <c r="H11" i="8"/>
  <c r="G14" i="8" l="1"/>
  <c r="H12" i="8"/>
  <c r="C40" i="8" s="1"/>
  <c r="J12" i="8"/>
  <c r="G13" i="8"/>
  <c r="H13" i="8" l="1"/>
  <c r="C42" i="8"/>
  <c r="C43" i="8" s="1"/>
</calcChain>
</file>

<file path=xl/sharedStrings.xml><?xml version="1.0" encoding="utf-8"?>
<sst xmlns="http://schemas.openxmlformats.org/spreadsheetml/2006/main" count="538" uniqueCount="173">
  <si>
    <t>Fase 1: Sviluppo</t>
  </si>
  <si>
    <t>Fase 2: Esercizio</t>
  </si>
  <si>
    <t>Anno 0</t>
  </si>
  <si>
    <t>Anno 1</t>
  </si>
  <si>
    <t>Anno 2</t>
  </si>
  <si>
    <t>Anno 3</t>
  </si>
  <si>
    <t>Anno 4</t>
  </si>
  <si>
    <t>Anno 5</t>
  </si>
  <si>
    <t>Figura Professionale</t>
  </si>
  <si>
    <t>TOTALE</t>
  </si>
  <si>
    <t>Totale A/P</t>
  </si>
  <si>
    <t>SA</t>
  </si>
  <si>
    <t>PM</t>
  </si>
  <si>
    <t>TOTALE A/P</t>
  </si>
  <si>
    <t>NUMERO ORE</t>
  </si>
  <si>
    <t>Numero Ore per Anno</t>
  </si>
  <si>
    <t>TOTALE O/P</t>
  </si>
  <si>
    <t>Totale O/P</t>
  </si>
  <si>
    <t>A Organizzazione Progetto</t>
  </si>
  <si>
    <r>
      <t xml:space="preserve">A1 </t>
    </r>
    <r>
      <rPr>
        <b/>
        <i/>
        <sz val="12"/>
        <color theme="1"/>
        <rFont val="Calibri"/>
        <family val="2"/>
        <scheme val="minor"/>
      </rPr>
      <t>Set-Up del Progetto</t>
    </r>
  </si>
  <si>
    <r>
      <t>A2</t>
    </r>
    <r>
      <rPr>
        <b/>
        <i/>
        <sz val="12"/>
        <color theme="1"/>
        <rFont val="Calibri"/>
        <family val="2"/>
        <scheme val="minor"/>
      </rPr>
      <t xml:space="preserve"> Gruppi e Ambienti di sviluppo </t>
    </r>
  </si>
  <si>
    <t>B Sottosistema Back-Office</t>
  </si>
  <si>
    <r>
      <t xml:space="preserve">B4 </t>
    </r>
    <r>
      <rPr>
        <b/>
        <i/>
        <sz val="12"/>
        <color theme="1"/>
        <rFont val="Calibri"/>
        <family val="2"/>
        <scheme val="minor"/>
      </rPr>
      <t xml:space="preserve">Modulo Ricerca/Verifica e Integrazione </t>
    </r>
  </si>
  <si>
    <t>C. Sottosistema Produttore</t>
  </si>
  <si>
    <r>
      <t xml:space="preserve">B2 </t>
    </r>
    <r>
      <rPr>
        <b/>
        <i/>
        <sz val="12"/>
        <color theme="1"/>
        <rFont val="Calibri"/>
        <family val="2"/>
        <scheme val="minor"/>
      </rPr>
      <t>Gestione DB per Lotti e Prodotti</t>
    </r>
  </si>
  <si>
    <t>C1 Gestione Dati Aziendali</t>
  </si>
  <si>
    <t>C2 Gestione Arruolamento Lotti e Prodotti</t>
  </si>
  <si>
    <t>C3 Gestione Spedizione Prodotti</t>
  </si>
  <si>
    <r>
      <t xml:space="preserve">B3 </t>
    </r>
    <r>
      <rPr>
        <b/>
        <i/>
        <sz val="12"/>
        <color theme="1"/>
        <rFont val="Calibri"/>
        <family val="2"/>
        <scheme val="minor"/>
      </rPr>
      <t>Off-Chain Store e Interfaccia Blockchain</t>
    </r>
  </si>
  <si>
    <t>C4 Analisi Dati su Supply-Chain</t>
  </si>
  <si>
    <t>D Sottosistema Intermediario</t>
  </si>
  <si>
    <t>E Sottosistema Verificatore</t>
  </si>
  <si>
    <t>F Sottosistema Front-End Unificato</t>
  </si>
  <si>
    <t>G Integrazione/Testing complessivo e Deployment</t>
  </si>
  <si>
    <r>
      <t xml:space="preserve">G1 </t>
    </r>
    <r>
      <rPr>
        <b/>
        <i/>
        <sz val="12"/>
        <color theme="1"/>
        <rFont val="Calibri"/>
        <family val="2"/>
        <scheme val="minor"/>
      </rPr>
      <t xml:space="preserve">Integrazione/Testing complessivo </t>
    </r>
  </si>
  <si>
    <r>
      <t xml:space="preserve">G2 </t>
    </r>
    <r>
      <rPr>
        <b/>
        <i/>
        <sz val="12"/>
        <color theme="1"/>
        <rFont val="Calibri"/>
        <family val="2"/>
        <scheme val="minor"/>
      </rPr>
      <t>Deployment</t>
    </r>
  </si>
  <si>
    <r>
      <t>F1</t>
    </r>
    <r>
      <rPr>
        <b/>
        <i/>
        <sz val="12"/>
        <color rgb="FF000000"/>
        <rFont val="Calibri"/>
        <family val="2"/>
        <scheme val="minor"/>
      </rPr>
      <t xml:space="preserve"> Front-End Logistica</t>
    </r>
  </si>
  <si>
    <r>
      <t>F1</t>
    </r>
    <r>
      <rPr>
        <b/>
        <i/>
        <sz val="12"/>
        <color rgb="FF000000"/>
        <rFont val="Calibri"/>
        <family val="2"/>
        <scheme val="minor"/>
      </rPr>
      <t xml:space="preserve"> Front-End Rivenditore</t>
    </r>
  </si>
  <si>
    <r>
      <t>F1</t>
    </r>
    <r>
      <rPr>
        <b/>
        <i/>
        <sz val="12"/>
        <color rgb="FF000000"/>
        <rFont val="Calibri"/>
        <family val="2"/>
        <scheme val="minor"/>
      </rPr>
      <t xml:space="preserve"> Front-End Cliente</t>
    </r>
  </si>
  <si>
    <r>
      <t xml:space="preserve">B1 </t>
    </r>
    <r>
      <rPr>
        <b/>
        <i/>
        <sz val="12"/>
        <color theme="1"/>
        <rFont val="Calibri"/>
        <family val="2"/>
        <scheme val="minor"/>
      </rPr>
      <t>Gestione DB per Produttore</t>
    </r>
  </si>
  <si>
    <r>
      <t xml:space="preserve">D1 </t>
    </r>
    <r>
      <rPr>
        <b/>
        <i/>
        <sz val="12"/>
        <color rgb="FF000000"/>
        <rFont val="Calibri"/>
        <family val="2"/>
        <scheme val="minor"/>
      </rPr>
      <t>Verticalizzazione per Produttori</t>
    </r>
  </si>
  <si>
    <r>
      <t xml:space="preserve">D2 </t>
    </r>
    <r>
      <rPr>
        <b/>
        <i/>
        <sz val="12"/>
        <color rgb="FF000000"/>
        <rFont val="Calibri"/>
        <family val="2"/>
        <scheme val="minor"/>
      </rPr>
      <t>Analisi Dati su Installazioni</t>
    </r>
  </si>
  <si>
    <t xml:space="preserve"> </t>
  </si>
  <si>
    <r>
      <t xml:space="preserve">E1 </t>
    </r>
    <r>
      <rPr>
        <b/>
        <i/>
        <sz val="12"/>
        <color rgb="FF000000"/>
        <rFont val="Calibri"/>
        <family val="2"/>
        <scheme val="minor"/>
      </rPr>
      <t>Accesso a dati su Blockchain e su Off-Chain Store</t>
    </r>
  </si>
  <si>
    <r>
      <t xml:space="preserve">E2 </t>
    </r>
    <r>
      <rPr>
        <b/>
        <i/>
        <sz val="12"/>
        <color rgb="FF000000"/>
        <rFont val="Calibri"/>
        <family val="2"/>
        <scheme val="minor"/>
      </rPr>
      <t>Verifica transazioni e dati</t>
    </r>
  </si>
  <si>
    <t>O/P</t>
  </si>
  <si>
    <t>OP Anno</t>
  </si>
  <si>
    <t>OP Mese</t>
  </si>
  <si>
    <t xml:space="preserve"> 1 PM</t>
  </si>
  <si>
    <t>1 SA</t>
  </si>
  <si>
    <t>4 FSD</t>
  </si>
  <si>
    <t>ANNO 1</t>
  </si>
  <si>
    <t>ANNO 2</t>
  </si>
  <si>
    <t>ANNO 3</t>
  </si>
  <si>
    <t>ANNO 4</t>
  </si>
  <si>
    <t>ANNO 5</t>
  </si>
  <si>
    <t>B. Manutenzione Ordinaria</t>
  </si>
  <si>
    <t>C. Manutenzione Evolutiva</t>
  </si>
  <si>
    <t>SEM 1</t>
  </si>
  <si>
    <t>SEM 2</t>
  </si>
  <si>
    <t>D. Assistenza Intermediari</t>
  </si>
  <si>
    <t>A. Promozione Piattaforma e Assistenza Commerciale</t>
  </si>
  <si>
    <t>E. Analisi di Dati di Esercizio della piattaforma</t>
  </si>
  <si>
    <t>TASK / SUBTASK</t>
  </si>
  <si>
    <t>1 PM</t>
  </si>
  <si>
    <t>OP TRIMESTRE</t>
  </si>
  <si>
    <t>2 FSD</t>
  </si>
  <si>
    <t>4 FSDJ</t>
  </si>
  <si>
    <t>FSD</t>
  </si>
  <si>
    <t>FSDJ</t>
  </si>
  <si>
    <t xml:space="preserve">NUMERO PERSONE </t>
  </si>
  <si>
    <t>ANNI PERSONA (A/P)</t>
  </si>
  <si>
    <t>A RAL (Retribuzione Annua Lorda)</t>
  </si>
  <si>
    <t>B TFR (Trattamento di fine rapporto)</t>
  </si>
  <si>
    <t>C Oneri a carico azienda (INPS e INAIL)</t>
  </si>
  <si>
    <t>D COSTO ANNUO AZIENDA = A+B+C</t>
  </si>
  <si>
    <t>CALCOLO COSTO LORDO AZIENDALE PERSONALE</t>
  </si>
  <si>
    <t>Altri Costi</t>
  </si>
  <si>
    <t>COSTO</t>
  </si>
  <si>
    <t>SG (20% P)</t>
  </si>
  <si>
    <t>P: Personale</t>
  </si>
  <si>
    <t>del costo del personale</t>
  </si>
  <si>
    <t xml:space="preserve">CLOUD COMPUTING </t>
  </si>
  <si>
    <t>COSTO ANNUO PER PERSONA</t>
  </si>
  <si>
    <t>Esperti Dominio</t>
  </si>
  <si>
    <t>FASE 1</t>
  </si>
  <si>
    <t>COSTO TOTALE</t>
  </si>
  <si>
    <t xml:space="preserve">SPESE GENERALI </t>
  </si>
  <si>
    <t>del finanziato</t>
  </si>
  <si>
    <t>COSTI FASE 2</t>
  </si>
  <si>
    <t>RICAVI FASE 2</t>
  </si>
  <si>
    <t>Abbonamento Annuo</t>
  </si>
  <si>
    <t>Totale Abbonamenti</t>
  </si>
  <si>
    <t>Numero Verticalizzazioni</t>
  </si>
  <si>
    <t>Totale Verticalizzazioni</t>
  </si>
  <si>
    <t>A - RICAVI</t>
  </si>
  <si>
    <t>B - COSTI</t>
  </si>
  <si>
    <t>Cloud per Esercizio</t>
  </si>
  <si>
    <t>Ammortamento Piattaforma</t>
  </si>
  <si>
    <t>ONERI FINANZIARI PIATT.</t>
  </si>
  <si>
    <t>% Risultato/Ricavi (R1/A)</t>
  </si>
  <si>
    <t>% Risultato/Ricavi (R2/A)</t>
  </si>
  <si>
    <t>RC - Risultato Netto Cumulato</t>
  </si>
  <si>
    <t>Capitale Investito</t>
  </si>
  <si>
    <t>ROI in 5 anni</t>
  </si>
  <si>
    <t>RICAVO TOTALE</t>
  </si>
  <si>
    <t>BC - COSTI TOTALI</t>
  </si>
  <si>
    <t>20€ x mese + 2€ x numero annuo di ore utilizzo</t>
  </si>
  <si>
    <t>Numero Intermediari</t>
  </si>
  <si>
    <t>Decremento Annuo Oneri</t>
  </si>
  <si>
    <t>per anno zero</t>
  </si>
  <si>
    <t>per anni 1-5</t>
  </si>
  <si>
    <t>P: Costi Personale</t>
  </si>
  <si>
    <t>Costi di Cloud</t>
  </si>
  <si>
    <t>C :COSTO TOTALE</t>
  </si>
  <si>
    <t>CO: COSTO CON ONERI C+O</t>
  </si>
  <si>
    <t>O: ONERI FINANZIARI PER C</t>
  </si>
  <si>
    <t>OF2: ONERI FINANZIARI PER CO</t>
  </si>
  <si>
    <t xml:space="preserve">RATA AMMORTAMENTO </t>
  </si>
  <si>
    <t>per anno 1</t>
  </si>
  <si>
    <t>% Tassa IRES</t>
  </si>
  <si>
    <t>% IRAP Calabria</t>
  </si>
  <si>
    <t>T1 - Tasse IRES 24% di R1</t>
  </si>
  <si>
    <t>R2 - Risultato Netto R1-T1-T2</t>
  </si>
  <si>
    <t>IR: Imponibile IRAP</t>
  </si>
  <si>
    <t>T2 - Tasse IRAP 4,82% di IR</t>
  </si>
  <si>
    <t>Risultato Netto Cumulato</t>
  </si>
  <si>
    <t>Gruppo</t>
  </si>
  <si>
    <t>Num Persone</t>
  </si>
  <si>
    <t>Tipologia</t>
  </si>
  <si>
    <t>Tasks</t>
  </si>
  <si>
    <t>A/P</t>
  </si>
  <si>
    <t>OP 15 giorni</t>
  </si>
  <si>
    <r>
      <t xml:space="preserve">A </t>
    </r>
    <r>
      <rPr>
        <i/>
        <sz val="12"/>
        <color theme="1"/>
        <rFont val="Calibri"/>
        <family val="2"/>
        <scheme val="minor"/>
      </rPr>
      <t>Organizzazione Progetto</t>
    </r>
    <r>
      <rPr>
        <sz val="12"/>
        <color theme="1"/>
        <rFont val="Calibri"/>
        <family val="2"/>
        <scheme val="minor"/>
      </rPr>
      <t xml:space="preserve">
G </t>
    </r>
    <r>
      <rPr>
        <i/>
        <sz val="12"/>
        <color theme="1"/>
        <rFont val="Calibri"/>
        <family val="2"/>
        <scheme val="minor"/>
      </rPr>
      <t>Integrazione/Testing complessivo e Deployment</t>
    </r>
  </si>
  <si>
    <t>0,5 PM
0,5 SA
2 FSD
4 FSDJ</t>
  </si>
  <si>
    <r>
      <t xml:space="preserve">A. </t>
    </r>
    <r>
      <rPr>
        <b/>
        <i/>
        <sz val="12"/>
        <color theme="1"/>
        <rFont val="Calibri"/>
        <family val="2"/>
        <scheme val="minor"/>
      </rPr>
      <t xml:space="preserve">Promozione Piattaforma e Assistenza Commerciale
</t>
    </r>
    <r>
      <rPr>
        <b/>
        <sz val="12"/>
        <color theme="1"/>
        <rFont val="Calibri"/>
        <family val="2"/>
        <scheme val="minor"/>
      </rPr>
      <t xml:space="preserve">B. </t>
    </r>
    <r>
      <rPr>
        <b/>
        <i/>
        <sz val="12"/>
        <color theme="1"/>
        <rFont val="Calibri"/>
        <family val="2"/>
        <scheme val="minor"/>
      </rPr>
      <t xml:space="preserve">Manutenzione Ordinaria
</t>
    </r>
    <r>
      <rPr>
        <b/>
        <sz val="12"/>
        <color theme="1"/>
        <rFont val="Calibri"/>
        <family val="2"/>
        <scheme val="minor"/>
      </rPr>
      <t xml:space="preserve">C. </t>
    </r>
    <r>
      <rPr>
        <b/>
        <i/>
        <sz val="12"/>
        <color theme="1"/>
        <rFont val="Calibri"/>
        <family val="2"/>
        <scheme val="minor"/>
      </rPr>
      <t xml:space="preserve">Manutenzione Evolutiva
</t>
    </r>
    <r>
      <rPr>
        <b/>
        <sz val="12"/>
        <color theme="1"/>
        <rFont val="Calibri"/>
        <family val="2"/>
        <scheme val="minor"/>
      </rPr>
      <t xml:space="preserve">D. </t>
    </r>
    <r>
      <rPr>
        <b/>
        <i/>
        <sz val="12"/>
        <color theme="1"/>
        <rFont val="Calibri"/>
        <family val="2"/>
        <scheme val="minor"/>
      </rPr>
      <t xml:space="preserve">Assistenza Intermediari
</t>
    </r>
    <r>
      <rPr>
        <b/>
        <sz val="12"/>
        <color theme="1"/>
        <rFont val="Calibri"/>
        <family val="2"/>
        <scheme val="minor"/>
      </rPr>
      <t xml:space="preserve">E. </t>
    </r>
    <r>
      <rPr>
        <b/>
        <i/>
        <sz val="12"/>
        <color theme="1"/>
        <rFont val="Calibri"/>
        <family val="2"/>
        <scheme val="minor"/>
      </rPr>
      <t>Analisi di Dati di Esercizio della piattaforma</t>
    </r>
  </si>
  <si>
    <t>R1 - Risultato Lordo A-BC</t>
  </si>
  <si>
    <t>Prezzo Verticalizzazione</t>
  </si>
  <si>
    <t>Annuo:(ROI-100%)/5</t>
  </si>
  <si>
    <t xml:space="preserve">ONERI FINANZIARI </t>
  </si>
  <si>
    <t>C - ONERI FINANZIARI PIATT</t>
  </si>
  <si>
    <t>B Sottosistema Back-End</t>
  </si>
  <si>
    <r>
      <t xml:space="preserve">B1 </t>
    </r>
    <r>
      <rPr>
        <b/>
        <i/>
        <sz val="12"/>
        <color theme="1"/>
        <rFont val="Calibri"/>
        <family val="2"/>
        <scheme val="minor"/>
      </rPr>
      <t>Gestione dei Database</t>
    </r>
  </si>
  <si>
    <t>B2 Modulo Intelligenza Artificiale</t>
  </si>
  <si>
    <t>B3 Modulo Gestione Transazioni</t>
  </si>
  <si>
    <t>B4 Modulo Registrazione Riparazione</t>
  </si>
  <si>
    <t>B5 Modulo Emissione Sigillo di Garanzia</t>
  </si>
  <si>
    <t>B6 Modulo Raccolta Feedback</t>
  </si>
  <si>
    <t>C. Sottosistema Intermediario</t>
  </si>
  <si>
    <t>C1 Modulo Gestione Blockchain</t>
  </si>
  <si>
    <t>C2 Modulo Gestione Feedback</t>
  </si>
  <si>
    <t>D Sottosistema Produttore</t>
  </si>
  <si>
    <t>D1 Modulo di Accesso</t>
  </si>
  <si>
    <t>D2 Modulo Registrazione Prodotti e Tag ID</t>
  </si>
  <si>
    <t>E Sottosistema Riparazioni e Certificazioni</t>
  </si>
  <si>
    <t>E1 Modulo di Accesso</t>
  </si>
  <si>
    <t>E2 Modulo Riparazioni</t>
  </si>
  <si>
    <t>E3 Modulo Certificazioni</t>
  </si>
  <si>
    <t xml:space="preserve">F Sottosistema Front-End </t>
  </si>
  <si>
    <t>F1 Modulo di Accesso</t>
  </si>
  <si>
    <t>F2 Modulo Cliente</t>
  </si>
  <si>
    <t>F3 Modulo Vendita</t>
  </si>
  <si>
    <t>F4 Modulo Acquisto Cliente</t>
  </si>
  <si>
    <t>D3 Modulo Gestione Dati dei Prodotti</t>
  </si>
  <si>
    <t>D4 Modulo invio feedback</t>
  </si>
  <si>
    <t>1 PM
1 SA
4 FSD
7 FSDJ</t>
  </si>
  <si>
    <r>
      <t xml:space="preserve">D </t>
    </r>
    <r>
      <rPr>
        <i/>
        <sz val="12"/>
        <color theme="1"/>
        <rFont val="Calibri"/>
        <family val="2"/>
        <scheme val="minor"/>
      </rPr>
      <t>Sottosistema Produttore</t>
    </r>
    <r>
      <rPr>
        <sz val="12"/>
        <color theme="1"/>
        <rFont val="Calibri"/>
        <family val="2"/>
        <scheme val="minor"/>
      </rPr>
      <t xml:space="preserve">
E </t>
    </r>
    <r>
      <rPr>
        <i/>
        <sz val="12"/>
        <color theme="1"/>
        <rFont val="Calibri"/>
        <family val="2"/>
        <scheme val="minor"/>
      </rPr>
      <t>Sottosistema Riparazioni e Certificazioni</t>
    </r>
  </si>
  <si>
    <r>
      <t xml:space="preserve">C </t>
    </r>
    <r>
      <rPr>
        <i/>
        <sz val="12"/>
        <color theme="1"/>
        <rFont val="Calibri"/>
        <family val="2"/>
        <scheme val="minor"/>
      </rPr>
      <t>Sottosistema Intermediario</t>
    </r>
    <r>
      <rPr>
        <sz val="12"/>
        <color theme="1"/>
        <rFont val="Calibri"/>
        <family val="2"/>
        <scheme val="minor"/>
      </rPr>
      <t xml:space="preserve">
F </t>
    </r>
    <r>
      <rPr>
        <i/>
        <sz val="12"/>
        <color theme="1"/>
        <rFont val="Calibri"/>
        <family val="2"/>
        <scheme val="minor"/>
      </rPr>
      <t>Sottosistema Front-End</t>
    </r>
  </si>
  <si>
    <r>
      <t xml:space="preserve">B </t>
    </r>
    <r>
      <rPr>
        <i/>
        <sz val="12"/>
        <color theme="1"/>
        <rFont val="Calibri"/>
        <family val="2"/>
        <scheme val="minor"/>
      </rPr>
      <t>Sottosistema Back-End</t>
    </r>
  </si>
  <si>
    <r>
      <t xml:space="preserve">A </t>
    </r>
    <r>
      <rPr>
        <b/>
        <i/>
        <sz val="12"/>
        <color theme="1"/>
        <rFont val="Calibri"/>
        <family val="2"/>
        <scheme val="minor"/>
      </rPr>
      <t xml:space="preserve">Organizzazione Progetto
</t>
    </r>
    <r>
      <rPr>
        <b/>
        <sz val="12"/>
        <color theme="1"/>
        <rFont val="Calibri"/>
        <family val="2"/>
        <scheme val="minor"/>
      </rPr>
      <t xml:space="preserve">B </t>
    </r>
    <r>
      <rPr>
        <b/>
        <i/>
        <sz val="12"/>
        <color theme="1"/>
        <rFont val="Calibri"/>
        <family val="2"/>
        <scheme val="minor"/>
      </rPr>
      <t xml:space="preserve">Sottosistema Back-End
</t>
    </r>
    <r>
      <rPr>
        <b/>
        <sz val="12"/>
        <color theme="1"/>
        <rFont val="Calibri"/>
        <family val="2"/>
        <scheme val="minor"/>
      </rPr>
      <t>C</t>
    </r>
    <r>
      <rPr>
        <b/>
        <i/>
        <sz val="12"/>
        <color theme="1"/>
        <rFont val="Calibri"/>
        <family val="2"/>
        <scheme val="minor"/>
      </rPr>
      <t xml:space="preserve"> Sottosistema Intermediario
</t>
    </r>
    <r>
      <rPr>
        <b/>
        <sz val="12"/>
        <color theme="1"/>
        <rFont val="Calibri"/>
        <family val="2"/>
        <scheme val="minor"/>
      </rPr>
      <t>D</t>
    </r>
    <r>
      <rPr>
        <b/>
        <i/>
        <sz val="12"/>
        <color theme="1"/>
        <rFont val="Calibri"/>
        <family val="2"/>
        <scheme val="minor"/>
      </rPr>
      <t xml:space="preserve"> Sottosistema Produttore
</t>
    </r>
    <r>
      <rPr>
        <b/>
        <sz val="12"/>
        <color theme="1"/>
        <rFont val="Calibri"/>
        <family val="2"/>
        <scheme val="minor"/>
      </rPr>
      <t>E</t>
    </r>
    <r>
      <rPr>
        <b/>
        <i/>
        <sz val="12"/>
        <color theme="1"/>
        <rFont val="Calibri"/>
        <family val="2"/>
        <scheme val="minor"/>
      </rPr>
      <t xml:space="preserve"> Sottosistema Riparazioni e Certificazioni
</t>
    </r>
    <r>
      <rPr>
        <b/>
        <sz val="12"/>
        <color theme="1"/>
        <rFont val="Calibri"/>
        <family val="2"/>
        <scheme val="minor"/>
      </rPr>
      <t>F</t>
    </r>
    <r>
      <rPr>
        <b/>
        <i/>
        <sz val="12"/>
        <color theme="1"/>
        <rFont val="Calibri"/>
        <family val="2"/>
        <scheme val="minor"/>
      </rPr>
      <t xml:space="preserve"> Sottosistema Front-End</t>
    </r>
    <r>
      <rPr>
        <b/>
        <sz val="12"/>
        <color theme="1"/>
        <rFont val="Calibri"/>
        <family val="2"/>
        <scheme val="minor"/>
      </rPr>
      <t xml:space="preserve">
G </t>
    </r>
    <r>
      <rPr>
        <b/>
        <i/>
        <sz val="12"/>
        <color theme="1"/>
        <rFont val="Calibri"/>
        <family val="2"/>
        <scheme val="minor"/>
      </rPr>
      <t>Integrazione/Testing complessivo e Deployment</t>
    </r>
  </si>
  <si>
    <t>0,50 PM
0,50 SA
2 FSD
3 FSDJ</t>
  </si>
  <si>
    <t>0,25 PM
0,25 SA
1 FSD
2 FSDJ</t>
  </si>
  <si>
    <t>7 FSDJ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</si>
</sst>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€&quot;_-;\-* #,##0.00\ &quot;€&quot;_-;_-* &quot;-&quot;??\ &quot;€&quot;_-;_-@_-"/>
    <numFmt numFmtId="164" formatCode="_-* #,##0\ &quot;€&quot;_-;\-* #,##0\ &quot;€&quot;_-;_-* &quot;-&quot;??\ &quot;€&quot;_-;_-@_-"/>
    <numFmt numFmtId="165" formatCode="#,##0_ ;\-#,##0\ "/>
    <numFmt numFmtId="166" formatCode="#,##0.000"/>
  </numFmts>
  <fonts count="1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sz val="12"/>
      <color theme="1"/>
      <name val="Cambria"/>
      <family val="1"/>
    </font>
    <font>
      <b/>
      <i/>
      <sz val="12"/>
      <color theme="1"/>
      <name val="Cambria"/>
      <family val="1"/>
    </font>
    <font>
      <b/>
      <sz val="12"/>
      <color theme="1"/>
      <name val="Cambria"/>
      <family val="1"/>
    </font>
    <font>
      <sz val="8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i/>
      <sz val="12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Dashed">
        <color indexed="64"/>
      </right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Dashed">
        <color indexed="64"/>
      </right>
      <top/>
      <bottom style="medium">
        <color indexed="64"/>
      </bottom>
      <diagonal/>
    </border>
    <border>
      <left style="mediumDashed">
        <color indexed="64"/>
      </left>
      <right style="medium">
        <color indexed="64"/>
      </right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mediumDashed">
        <color indexed="64"/>
      </right>
      <top style="thick">
        <color indexed="64"/>
      </top>
      <bottom style="medium">
        <color indexed="64"/>
      </bottom>
      <diagonal/>
    </border>
    <border>
      <left style="mediumDashed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Dashed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mediumDashed">
        <color indexed="64"/>
      </right>
      <top style="medium">
        <color indexed="64"/>
      </top>
      <bottom style="thick">
        <color indexed="64"/>
      </bottom>
      <diagonal/>
    </border>
    <border>
      <left style="mediumDashed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Dashed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Dashed">
        <color indexed="64"/>
      </right>
      <top style="medium">
        <color indexed="64"/>
      </top>
      <bottom/>
      <diagonal/>
    </border>
    <border>
      <left style="mediumDashed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 style="mediumDashed">
        <color indexed="64"/>
      </right>
      <top style="thick">
        <color indexed="64"/>
      </top>
      <bottom/>
      <diagonal/>
    </border>
    <border>
      <left style="mediumDashed">
        <color indexed="64"/>
      </left>
      <right style="medium">
        <color indexed="64"/>
      </right>
      <top style="thick">
        <color indexed="64"/>
      </top>
      <bottom/>
      <diagonal/>
    </border>
    <border>
      <left style="mediumDashed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 style="mediumDashed">
        <color indexed="64"/>
      </left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Dashed">
        <color indexed="64"/>
      </left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mediumDashed">
        <color indexed="64"/>
      </right>
      <top/>
      <bottom style="thick">
        <color indexed="64"/>
      </bottom>
      <diagonal/>
    </border>
    <border>
      <left style="mediumDashed">
        <color indexed="64"/>
      </left>
      <right style="medium">
        <color indexed="64"/>
      </right>
      <top/>
      <bottom style="thick">
        <color indexed="64"/>
      </bottom>
      <diagonal/>
    </border>
    <border>
      <left style="mediumDashed">
        <color indexed="64"/>
      </left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 style="thick">
        <color indexed="64"/>
      </bottom>
      <diagonal/>
    </border>
    <border>
      <left style="mediumDashed">
        <color indexed="64"/>
      </left>
      <right/>
      <top style="thick">
        <color indexed="64"/>
      </top>
      <bottom style="medium">
        <color indexed="64"/>
      </bottom>
      <diagonal/>
    </border>
    <border>
      <left style="mediumDashed">
        <color indexed="64"/>
      </left>
      <right/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/>
      <top style="medium">
        <color indexed="64"/>
      </top>
      <bottom style="thick">
        <color indexed="64"/>
      </bottom>
      <diagonal/>
    </border>
    <border>
      <left style="mediumDashed">
        <color indexed="64"/>
      </left>
      <right/>
      <top/>
      <bottom style="medium">
        <color indexed="64"/>
      </bottom>
      <diagonal/>
    </border>
    <border>
      <left style="mediumDashed">
        <color indexed="64"/>
      </left>
      <right/>
      <top/>
      <bottom style="thick">
        <color indexed="64"/>
      </bottom>
      <diagonal/>
    </border>
    <border>
      <left style="mediumDashed">
        <color indexed="64"/>
      </left>
      <right/>
      <top style="thick">
        <color indexed="64"/>
      </top>
      <bottom/>
      <diagonal/>
    </border>
    <border>
      <left style="mediumDashed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/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slantDashDot">
        <color indexed="64"/>
      </bottom>
      <diagonal/>
    </border>
    <border>
      <left/>
      <right/>
      <top style="thick">
        <color indexed="64"/>
      </top>
      <bottom style="slantDashDot">
        <color indexed="64"/>
      </bottom>
      <diagonal/>
    </border>
    <border>
      <left/>
      <right style="thick">
        <color indexed="64"/>
      </right>
      <top style="thick">
        <color indexed="64"/>
      </top>
      <bottom style="slantDashDot">
        <color indexed="64"/>
      </bottom>
      <diagonal/>
    </border>
    <border>
      <left style="thick">
        <color indexed="64"/>
      </left>
      <right/>
      <top style="thick">
        <color indexed="64"/>
      </top>
      <bottom style="medium">
        <color indexed="64"/>
      </bottom>
      <diagonal/>
    </border>
    <border>
      <left/>
      <right style="mediumDashed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mediumDashed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49">
    <xf numFmtId="0" fontId="0" fillId="0" borderId="0" xfId="0"/>
    <xf numFmtId="0" fontId="2" fillId="0" borderId="0" xfId="0" applyFont="1"/>
    <xf numFmtId="0" fontId="4" fillId="0" borderId="0" xfId="0" applyFont="1"/>
    <xf numFmtId="0" fontId="5" fillId="0" borderId="2" xfId="0" applyFont="1" applyBorder="1"/>
    <xf numFmtId="0" fontId="5" fillId="0" borderId="14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0" xfId="0" applyFont="1"/>
    <xf numFmtId="0" fontId="6" fillId="0" borderId="17" xfId="0" applyFont="1" applyBorder="1"/>
    <xf numFmtId="0" fontId="4" fillId="0" borderId="11" xfId="0" applyFont="1" applyBorder="1"/>
    <xf numFmtId="0" fontId="4" fillId="0" borderId="12" xfId="0" applyFont="1" applyBorder="1"/>
    <xf numFmtId="0" fontId="6" fillId="0" borderId="18" xfId="0" applyFont="1" applyBorder="1"/>
    <xf numFmtId="0" fontId="4" fillId="2" borderId="9" xfId="0" applyFont="1" applyFill="1" applyBorder="1"/>
    <xf numFmtId="0" fontId="4" fillId="2" borderId="10" xfId="0" applyFont="1" applyFill="1" applyBorder="1"/>
    <xf numFmtId="0" fontId="0" fillId="0" borderId="0" xfId="0" applyAlignment="1">
      <alignment vertical="center" wrapText="1"/>
    </xf>
    <xf numFmtId="0" fontId="2" fillId="0" borderId="9" xfId="0" applyFont="1" applyBorder="1" applyAlignment="1">
      <alignment horizontal="center"/>
    </xf>
    <xf numFmtId="0" fontId="2" fillId="0" borderId="13" xfId="0" applyFont="1" applyBorder="1"/>
    <xf numFmtId="3" fontId="0" fillId="0" borderId="0" xfId="0" applyNumberFormat="1"/>
    <xf numFmtId="3" fontId="2" fillId="0" borderId="21" xfId="0" applyNumberFormat="1" applyFont="1" applyBorder="1" applyAlignment="1">
      <alignment vertical="center" wrapText="1"/>
    </xf>
    <xf numFmtId="3" fontId="3" fillId="0" borderId="6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vertical="center" wrapText="1"/>
    </xf>
    <xf numFmtId="3" fontId="3" fillId="0" borderId="7" xfId="0" applyNumberFormat="1" applyFont="1" applyBorder="1" applyAlignment="1">
      <alignment horizontal="center" vertical="center" wrapText="1"/>
    </xf>
    <xf numFmtId="3" fontId="3" fillId="0" borderId="19" xfId="0" applyNumberFormat="1" applyFont="1" applyBorder="1" applyAlignment="1">
      <alignment horizontal="center" vertical="center" wrapText="1"/>
    </xf>
    <xf numFmtId="3" fontId="0" fillId="0" borderId="22" xfId="0" applyNumberFormat="1" applyBorder="1"/>
    <xf numFmtId="3" fontId="0" fillId="0" borderId="6" xfId="1" applyNumberFormat="1" applyFont="1" applyBorder="1" applyAlignment="1">
      <alignment horizontal="center"/>
    </xf>
    <xf numFmtId="3" fontId="0" fillId="0" borderId="1" xfId="1" applyNumberFormat="1" applyFont="1" applyBorder="1" applyAlignment="1">
      <alignment horizontal="center"/>
    </xf>
    <xf numFmtId="3" fontId="0" fillId="0" borderId="7" xfId="1" applyNumberFormat="1" applyFont="1" applyBorder="1" applyAlignment="1">
      <alignment horizontal="center"/>
    </xf>
    <xf numFmtId="3" fontId="0" fillId="0" borderId="20" xfId="0" applyNumberFormat="1" applyBorder="1" applyAlignment="1">
      <alignment horizontal="center"/>
    </xf>
    <xf numFmtId="3" fontId="0" fillId="0" borderId="24" xfId="1" applyNumberFormat="1" applyFont="1" applyBorder="1" applyAlignment="1">
      <alignment horizontal="center"/>
    </xf>
    <xf numFmtId="3" fontId="0" fillId="0" borderId="25" xfId="1" applyNumberFormat="1" applyFont="1" applyBorder="1" applyAlignment="1">
      <alignment horizontal="center"/>
    </xf>
    <xf numFmtId="3" fontId="0" fillId="0" borderId="26" xfId="1" applyNumberFormat="1" applyFont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8" borderId="29" xfId="0" applyFill="1" applyBorder="1"/>
    <xf numFmtId="0" fontId="0" fillId="8" borderId="30" xfId="0" applyFill="1" applyBorder="1"/>
    <xf numFmtId="0" fontId="0" fillId="9" borderId="29" xfId="0" applyFill="1" applyBorder="1"/>
    <xf numFmtId="0" fontId="0" fillId="9" borderId="30" xfId="0" applyFill="1" applyBorder="1"/>
    <xf numFmtId="0" fontId="0" fillId="0" borderId="33" xfId="0" applyBorder="1"/>
    <xf numFmtId="0" fontId="0" fillId="0" borderId="34" xfId="0" applyBorder="1"/>
    <xf numFmtId="0" fontId="2" fillId="3" borderId="35" xfId="0" applyFont="1" applyFill="1" applyBorder="1"/>
    <xf numFmtId="0" fontId="0" fillId="3" borderId="36" xfId="0" applyFill="1" applyBorder="1"/>
    <xf numFmtId="0" fontId="0" fillId="3" borderId="37" xfId="0" applyFill="1" applyBorder="1"/>
    <xf numFmtId="0" fontId="0" fillId="0" borderId="36" xfId="0" applyBorder="1"/>
    <xf numFmtId="0" fontId="0" fillId="0" borderId="37" xfId="0" applyBorder="1"/>
    <xf numFmtId="0" fontId="0" fillId="0" borderId="38" xfId="0" applyBorder="1"/>
    <xf numFmtId="0" fontId="2" fillId="8" borderId="39" xfId="0" applyFont="1" applyFill="1" applyBorder="1"/>
    <xf numFmtId="0" fontId="0" fillId="0" borderId="40" xfId="0" applyBorder="1"/>
    <xf numFmtId="0" fontId="2" fillId="8" borderId="41" xfId="0" applyFont="1" applyFill="1" applyBorder="1"/>
    <xf numFmtId="0" fontId="0" fillId="0" borderId="42" xfId="0" applyBorder="1"/>
    <xf numFmtId="0" fontId="0" fillId="0" borderId="43" xfId="0" applyBorder="1"/>
    <xf numFmtId="0" fontId="0" fillId="8" borderId="42" xfId="0" applyFill="1" applyBorder="1"/>
    <xf numFmtId="0" fontId="0" fillId="8" borderId="43" xfId="0" applyFill="1" applyBorder="1"/>
    <xf numFmtId="0" fontId="0" fillId="0" borderId="44" xfId="0" applyBorder="1"/>
    <xf numFmtId="0" fontId="2" fillId="0" borderId="45" xfId="0" applyFont="1" applyBorder="1" applyAlignment="1">
      <alignment horizontal="center"/>
    </xf>
    <xf numFmtId="0" fontId="2" fillId="4" borderId="35" xfId="0" applyFont="1" applyFill="1" applyBorder="1"/>
    <xf numFmtId="0" fontId="0" fillId="4" borderId="36" xfId="0" applyFill="1" applyBorder="1"/>
    <xf numFmtId="0" fontId="0" fillId="4" borderId="37" xfId="0" applyFill="1" applyBorder="1"/>
    <xf numFmtId="0" fontId="2" fillId="9" borderId="39" xfId="0" applyFont="1" applyFill="1" applyBorder="1"/>
    <xf numFmtId="0" fontId="2" fillId="9" borderId="41" xfId="0" applyFont="1" applyFill="1" applyBorder="1"/>
    <xf numFmtId="0" fontId="0" fillId="9" borderId="42" xfId="0" applyFill="1" applyBorder="1"/>
    <xf numFmtId="0" fontId="0" fillId="9" borderId="43" xfId="0" applyFill="1" applyBorder="1"/>
    <xf numFmtId="0" fontId="2" fillId="5" borderId="35" xfId="0" applyFont="1" applyFill="1" applyBorder="1"/>
    <xf numFmtId="0" fontId="0" fillId="5" borderId="36" xfId="0" applyFill="1" applyBorder="1"/>
    <xf numFmtId="0" fontId="0" fillId="5" borderId="37" xfId="0" applyFill="1" applyBorder="1"/>
    <xf numFmtId="0" fontId="2" fillId="10" borderId="39" xfId="0" applyFont="1" applyFill="1" applyBorder="1"/>
    <xf numFmtId="0" fontId="2" fillId="10" borderId="41" xfId="0" applyFont="1" applyFill="1" applyBorder="1"/>
    <xf numFmtId="0" fontId="0" fillId="10" borderId="42" xfId="0" applyFill="1" applyBorder="1"/>
    <xf numFmtId="0" fontId="0" fillId="10" borderId="43" xfId="0" applyFill="1" applyBorder="1"/>
    <xf numFmtId="0" fontId="0" fillId="0" borderId="48" xfId="0" applyBorder="1"/>
    <xf numFmtId="0" fontId="0" fillId="0" borderId="49" xfId="0" applyBorder="1"/>
    <xf numFmtId="0" fontId="0" fillId="3" borderId="38" xfId="0" applyFill="1" applyBorder="1"/>
    <xf numFmtId="0" fontId="0" fillId="8" borderId="44" xfId="0" applyFill="1" applyBorder="1"/>
    <xf numFmtId="0" fontId="8" fillId="0" borderId="50" xfId="0" applyFont="1" applyBorder="1"/>
    <xf numFmtId="0" fontId="0" fillId="0" borderId="51" xfId="0" applyBorder="1"/>
    <xf numFmtId="0" fontId="0" fillId="0" borderId="52" xfId="0" applyBorder="1"/>
    <xf numFmtId="0" fontId="0" fillId="0" borderId="53" xfId="0" applyBorder="1"/>
    <xf numFmtId="0" fontId="8" fillId="0" borderId="54" xfId="0" applyFont="1" applyBorder="1"/>
    <xf numFmtId="0" fontId="0" fillId="0" borderId="55" xfId="0" applyBorder="1"/>
    <xf numFmtId="0" fontId="8" fillId="0" borderId="41" xfId="0" applyFont="1" applyBorder="1"/>
    <xf numFmtId="0" fontId="0" fillId="10" borderId="33" xfId="0" applyFill="1" applyBorder="1"/>
    <xf numFmtId="0" fontId="8" fillId="5" borderId="35" xfId="0" applyFont="1" applyFill="1" applyBorder="1"/>
    <xf numFmtId="0" fontId="8" fillId="10" borderId="56" xfId="0" applyFont="1" applyFill="1" applyBorder="1"/>
    <xf numFmtId="0" fontId="0" fillId="0" borderId="57" xfId="0" applyBorder="1"/>
    <xf numFmtId="0" fontId="8" fillId="10" borderId="58" xfId="0" applyFont="1" applyFill="1" applyBorder="1"/>
    <xf numFmtId="0" fontId="0" fillId="0" borderId="59" xfId="0" applyBorder="1"/>
    <xf numFmtId="0" fontId="0" fillId="0" borderId="60" xfId="0" applyBorder="1"/>
    <xf numFmtId="0" fontId="0" fillId="10" borderId="59" xfId="0" applyFill="1" applyBorder="1"/>
    <xf numFmtId="0" fontId="0" fillId="0" borderId="61" xfId="0" applyBorder="1"/>
    <xf numFmtId="0" fontId="2" fillId="8" borderId="54" xfId="0" applyFont="1" applyFill="1" applyBorder="1"/>
    <xf numFmtId="0" fontId="2" fillId="0" borderId="15" xfId="0" applyFont="1" applyBorder="1"/>
    <xf numFmtId="2" fontId="0" fillId="3" borderId="36" xfId="0" applyNumberFormat="1" applyFill="1" applyBorder="1"/>
    <xf numFmtId="2" fontId="0" fillId="3" borderId="37" xfId="0" applyNumberFormat="1" applyFill="1" applyBorder="1"/>
    <xf numFmtId="2" fontId="0" fillId="0" borderId="36" xfId="0" applyNumberFormat="1" applyBorder="1"/>
    <xf numFmtId="2" fontId="0" fillId="0" borderId="37" xfId="0" applyNumberFormat="1" applyBorder="1"/>
    <xf numFmtId="2" fontId="0" fillId="0" borderId="38" xfId="0" applyNumberFormat="1" applyBorder="1"/>
    <xf numFmtId="2" fontId="0" fillId="4" borderId="36" xfId="0" applyNumberFormat="1" applyFill="1" applyBorder="1"/>
    <xf numFmtId="2" fontId="0" fillId="4" borderId="37" xfId="0" applyNumberFormat="1" applyFill="1" applyBorder="1"/>
    <xf numFmtId="2" fontId="0" fillId="5" borderId="36" xfId="0" applyNumberFormat="1" applyFill="1" applyBorder="1"/>
    <xf numFmtId="2" fontId="0" fillId="5" borderId="37" xfId="0" applyNumberFormat="1" applyFill="1" applyBorder="1"/>
    <xf numFmtId="2" fontId="0" fillId="3" borderId="38" xfId="0" applyNumberFormat="1" applyFill="1" applyBorder="1"/>
    <xf numFmtId="2" fontId="10" fillId="3" borderId="36" xfId="0" applyNumberFormat="1" applyFont="1" applyFill="1" applyBorder="1"/>
    <xf numFmtId="2" fontId="10" fillId="3" borderId="37" xfId="0" applyNumberFormat="1" applyFont="1" applyFill="1" applyBorder="1"/>
    <xf numFmtId="2" fontId="10" fillId="0" borderId="36" xfId="0" applyNumberFormat="1" applyFont="1" applyBorder="1"/>
    <xf numFmtId="2" fontId="10" fillId="0" borderId="37" xfId="0" applyNumberFormat="1" applyFont="1" applyBorder="1"/>
    <xf numFmtId="2" fontId="10" fillId="8" borderId="29" xfId="0" applyNumberFormat="1" applyFont="1" applyFill="1" applyBorder="1"/>
    <xf numFmtId="2" fontId="10" fillId="0" borderId="30" xfId="0" applyNumberFormat="1" applyFont="1" applyBorder="1"/>
    <xf numFmtId="2" fontId="10" fillId="0" borderId="29" xfId="0" applyNumberFormat="1" applyFont="1" applyBorder="1"/>
    <xf numFmtId="2" fontId="10" fillId="0" borderId="42" xfId="0" applyNumberFormat="1" applyFont="1" applyBorder="1"/>
    <xf numFmtId="2" fontId="10" fillId="8" borderId="43" xfId="0" applyNumberFormat="1" applyFont="1" applyFill="1" applyBorder="1"/>
    <xf numFmtId="2" fontId="10" fillId="8" borderId="42" xfId="0" applyNumberFormat="1" applyFont="1" applyFill="1" applyBorder="1"/>
    <xf numFmtId="2" fontId="10" fillId="0" borderId="43" xfId="0" applyNumberFormat="1" applyFont="1" applyBorder="1"/>
    <xf numFmtId="2" fontId="10" fillId="4" borderId="36" xfId="0" applyNumberFormat="1" applyFont="1" applyFill="1" applyBorder="1"/>
    <xf numFmtId="2" fontId="10" fillId="4" borderId="37" xfId="0" applyNumberFormat="1" applyFont="1" applyFill="1" applyBorder="1"/>
    <xf numFmtId="2" fontId="10" fillId="9" borderId="29" xfId="0" applyNumberFormat="1" applyFont="1" applyFill="1" applyBorder="1"/>
    <xf numFmtId="2" fontId="10" fillId="9" borderId="30" xfId="0" applyNumberFormat="1" applyFont="1" applyFill="1" applyBorder="1"/>
    <xf numFmtId="2" fontId="10" fillId="9" borderId="43" xfId="0" applyNumberFormat="1" applyFont="1" applyFill="1" applyBorder="1"/>
    <xf numFmtId="2" fontId="10" fillId="9" borderId="42" xfId="0" applyNumberFormat="1" applyFont="1" applyFill="1" applyBorder="1"/>
    <xf numFmtId="2" fontId="10" fillId="5" borderId="36" xfId="0" applyNumberFormat="1" applyFont="1" applyFill="1" applyBorder="1"/>
    <xf numFmtId="2" fontId="10" fillId="5" borderId="37" xfId="0" applyNumberFormat="1" applyFont="1" applyFill="1" applyBorder="1"/>
    <xf numFmtId="2" fontId="10" fillId="10" borderId="29" xfId="0" applyNumberFormat="1" applyFont="1" applyFill="1" applyBorder="1"/>
    <xf numFmtId="2" fontId="10" fillId="10" borderId="30" xfId="0" applyNumberFormat="1" applyFont="1" applyFill="1" applyBorder="1"/>
    <xf numFmtId="2" fontId="10" fillId="10" borderId="42" xfId="0" applyNumberFormat="1" applyFont="1" applyFill="1" applyBorder="1"/>
    <xf numFmtId="2" fontId="10" fillId="10" borderId="43" xfId="0" applyNumberFormat="1" applyFont="1" applyFill="1" applyBorder="1"/>
    <xf numFmtId="2" fontId="10" fillId="0" borderId="33" xfId="0" applyNumberFormat="1" applyFont="1" applyBorder="1"/>
    <xf numFmtId="2" fontId="10" fillId="0" borderId="34" xfId="0" applyNumberFormat="1" applyFont="1" applyBorder="1"/>
    <xf numFmtId="2" fontId="10" fillId="10" borderId="33" xfId="0" applyNumberFormat="1" applyFont="1" applyFill="1" applyBorder="1"/>
    <xf numFmtId="2" fontId="10" fillId="0" borderId="59" xfId="0" applyNumberFormat="1" applyFont="1" applyBorder="1"/>
    <xf numFmtId="2" fontId="10" fillId="0" borderId="60" xfId="0" applyNumberFormat="1" applyFont="1" applyBorder="1"/>
    <xf numFmtId="2" fontId="10" fillId="10" borderId="59" xfId="0" applyNumberFormat="1" applyFont="1" applyFill="1" applyBorder="1"/>
    <xf numFmtId="2" fontId="10" fillId="0" borderId="51" xfId="0" applyNumberFormat="1" applyFont="1" applyBorder="1"/>
    <xf numFmtId="2" fontId="10" fillId="0" borderId="52" xfId="0" applyNumberFormat="1" applyFont="1" applyBorder="1"/>
    <xf numFmtId="2" fontId="10" fillId="7" borderId="51" xfId="0" applyNumberFormat="1" applyFont="1" applyFill="1" applyBorder="1"/>
    <xf numFmtId="2" fontId="10" fillId="7" borderId="52" xfId="0" applyNumberFormat="1" applyFont="1" applyFill="1" applyBorder="1"/>
    <xf numFmtId="2" fontId="10" fillId="0" borderId="48" xfId="0" applyNumberFormat="1" applyFont="1" applyBorder="1"/>
    <xf numFmtId="2" fontId="10" fillId="0" borderId="49" xfId="0" applyNumberFormat="1" applyFont="1" applyBorder="1"/>
    <xf numFmtId="2" fontId="10" fillId="4" borderId="48" xfId="0" applyNumberFormat="1" applyFont="1" applyFill="1" applyBorder="1"/>
    <xf numFmtId="2" fontId="10" fillId="4" borderId="49" xfId="0" applyNumberFormat="1" applyFont="1" applyFill="1" applyBorder="1"/>
    <xf numFmtId="2" fontId="10" fillId="4" borderId="42" xfId="0" applyNumberFormat="1" applyFont="1" applyFill="1" applyBorder="1"/>
    <xf numFmtId="2" fontId="10" fillId="4" borderId="43" xfId="0" applyNumberFormat="1" applyFont="1" applyFill="1" applyBorder="1"/>
    <xf numFmtId="2" fontId="10" fillId="8" borderId="30" xfId="0" applyNumberFormat="1" applyFont="1" applyFill="1" applyBorder="1"/>
    <xf numFmtId="2" fontId="10" fillId="0" borderId="63" xfId="0" applyNumberFormat="1" applyFont="1" applyBorder="1"/>
    <xf numFmtId="2" fontId="10" fillId="0" borderId="64" xfId="0" applyNumberFormat="1" applyFont="1" applyBorder="1"/>
    <xf numFmtId="2" fontId="10" fillId="0" borderId="65" xfId="0" applyNumberFormat="1" applyFont="1" applyBorder="1"/>
    <xf numFmtId="2" fontId="10" fillId="0" borderId="66" xfId="0" applyNumberFormat="1" applyFont="1" applyBorder="1"/>
    <xf numFmtId="2" fontId="10" fillId="0" borderId="67" xfId="0" applyNumberFormat="1" applyFont="1" applyBorder="1"/>
    <xf numFmtId="2" fontId="10" fillId="0" borderId="68" xfId="0" applyNumberFormat="1" applyFont="1" applyBorder="1"/>
    <xf numFmtId="2" fontId="10" fillId="0" borderId="69" xfId="0" applyNumberFormat="1" applyFont="1" applyBorder="1"/>
    <xf numFmtId="2" fontId="10" fillId="3" borderId="63" xfId="0" applyNumberFormat="1" applyFont="1" applyFill="1" applyBorder="1"/>
    <xf numFmtId="2" fontId="10" fillId="8" borderId="69" xfId="0" applyNumberFormat="1" applyFont="1" applyFill="1" applyBorder="1"/>
    <xf numFmtId="0" fontId="2" fillId="0" borderId="73" xfId="0" applyFont="1" applyBorder="1"/>
    <xf numFmtId="2" fontId="11" fillId="0" borderId="74" xfId="0" applyNumberFormat="1" applyFont="1" applyBorder="1"/>
    <xf numFmtId="2" fontId="11" fillId="0" borderId="75" xfId="0" applyNumberFormat="1" applyFont="1" applyBorder="1"/>
    <xf numFmtId="2" fontId="11" fillId="0" borderId="76" xfId="0" applyNumberFormat="1" applyFont="1" applyBorder="1"/>
    <xf numFmtId="0" fontId="2" fillId="0" borderId="45" xfId="0" quotePrefix="1" applyFont="1" applyBorder="1" applyAlignment="1">
      <alignment horizontal="center"/>
    </xf>
    <xf numFmtId="4" fontId="0" fillId="0" borderId="0" xfId="0" applyNumberFormat="1"/>
    <xf numFmtId="4" fontId="2" fillId="0" borderId="32" xfId="0" applyNumberFormat="1" applyFont="1" applyBorder="1" applyAlignment="1">
      <alignment horizontal="center"/>
    </xf>
    <xf numFmtId="4" fontId="2" fillId="0" borderId="70" xfId="0" applyNumberFormat="1" applyFont="1" applyBorder="1"/>
    <xf numFmtId="4" fontId="3" fillId="0" borderId="71" xfId="0" applyNumberFormat="1" applyFont="1" applyBorder="1"/>
    <xf numFmtId="4" fontId="3" fillId="0" borderId="72" xfId="0" applyNumberFormat="1" applyFont="1" applyBorder="1"/>
    <xf numFmtId="4" fontId="2" fillId="0" borderId="32" xfId="0" applyNumberFormat="1" applyFont="1" applyBorder="1"/>
    <xf numFmtId="0" fontId="2" fillId="0" borderId="73" xfId="0" applyFont="1" applyBorder="1" applyAlignment="1">
      <alignment horizontal="center"/>
    </xf>
    <xf numFmtId="0" fontId="2" fillId="3" borderId="81" xfId="0" applyFont="1" applyFill="1" applyBorder="1"/>
    <xf numFmtId="0" fontId="2" fillId="4" borderId="81" xfId="0" applyFont="1" applyFill="1" applyBorder="1"/>
    <xf numFmtId="0" fontId="2" fillId="5" borderId="81" xfId="0" applyFont="1" applyFill="1" applyBorder="1"/>
    <xf numFmtId="0" fontId="0" fillId="4" borderId="82" xfId="0" applyFill="1" applyBorder="1"/>
    <xf numFmtId="0" fontId="0" fillId="5" borderId="82" xfId="0" applyFill="1" applyBorder="1"/>
    <xf numFmtId="0" fontId="0" fillId="3" borderId="84" xfId="0" applyFill="1" applyBorder="1"/>
    <xf numFmtId="0" fontId="0" fillId="0" borderId="84" xfId="0" applyBorder="1"/>
    <xf numFmtId="0" fontId="0" fillId="4" borderId="84" xfId="0" applyFill="1" applyBorder="1"/>
    <xf numFmtId="0" fontId="0" fillId="4" borderId="38" xfId="0" applyFill="1" applyBorder="1"/>
    <xf numFmtId="0" fontId="0" fillId="5" borderId="84" xfId="0" applyFill="1" applyBorder="1"/>
    <xf numFmtId="0" fontId="0" fillId="5" borderId="38" xfId="0" applyFill="1" applyBorder="1"/>
    <xf numFmtId="0" fontId="0" fillId="3" borderId="82" xfId="0" applyFill="1" applyBorder="1"/>
    <xf numFmtId="0" fontId="2" fillId="11" borderId="81" xfId="0" applyFont="1" applyFill="1" applyBorder="1"/>
    <xf numFmtId="0" fontId="0" fillId="11" borderId="84" xfId="0" applyFill="1" applyBorder="1"/>
    <xf numFmtId="0" fontId="0" fillId="11" borderId="37" xfId="0" applyFill="1" applyBorder="1"/>
    <xf numFmtId="0" fontId="0" fillId="11" borderId="36" xfId="0" applyFill="1" applyBorder="1"/>
    <xf numFmtId="0" fontId="0" fillId="11" borderId="38" xfId="0" applyFill="1" applyBorder="1"/>
    <xf numFmtId="0" fontId="0" fillId="11" borderId="82" xfId="0" applyFill="1" applyBorder="1"/>
    <xf numFmtId="0" fontId="2" fillId="6" borderId="81" xfId="0" applyFont="1" applyFill="1" applyBorder="1"/>
    <xf numFmtId="0" fontId="0" fillId="6" borderId="84" xfId="0" applyFill="1" applyBorder="1"/>
    <xf numFmtId="0" fontId="0" fillId="6" borderId="37" xfId="0" applyFill="1" applyBorder="1"/>
    <xf numFmtId="0" fontId="0" fillId="6" borderId="36" xfId="0" applyFill="1" applyBorder="1"/>
    <xf numFmtId="0" fontId="0" fillId="6" borderId="38" xfId="0" applyFill="1" applyBorder="1"/>
    <xf numFmtId="0" fontId="0" fillId="6" borderId="82" xfId="0" applyFill="1" applyBorder="1"/>
    <xf numFmtId="18" fontId="2" fillId="0" borderId="73" xfId="0" quotePrefix="1" applyNumberFormat="1" applyFont="1" applyBorder="1" applyAlignment="1">
      <alignment horizontal="center"/>
    </xf>
    <xf numFmtId="2" fontId="0" fillId="3" borderId="84" xfId="0" applyNumberFormat="1" applyFill="1" applyBorder="1"/>
    <xf numFmtId="2" fontId="0" fillId="3" borderId="82" xfId="0" applyNumberFormat="1" applyFill="1" applyBorder="1"/>
    <xf numFmtId="2" fontId="0" fillId="11" borderId="84" xfId="0" applyNumberFormat="1" applyFill="1" applyBorder="1"/>
    <xf numFmtId="2" fontId="0" fillId="11" borderId="37" xfId="0" applyNumberFormat="1" applyFill="1" applyBorder="1"/>
    <xf numFmtId="2" fontId="0" fillId="11" borderId="36" xfId="0" applyNumberFormat="1" applyFill="1" applyBorder="1"/>
    <xf numFmtId="2" fontId="0" fillId="11" borderId="38" xfId="0" applyNumberFormat="1" applyFill="1" applyBorder="1"/>
    <xf numFmtId="2" fontId="0" fillId="11" borderId="82" xfId="0" applyNumberFormat="1" applyFill="1" applyBorder="1"/>
    <xf numFmtId="2" fontId="0" fillId="0" borderId="84" xfId="0" applyNumberFormat="1" applyBorder="1"/>
    <xf numFmtId="2" fontId="0" fillId="4" borderId="84" xfId="0" applyNumberFormat="1" applyFill="1" applyBorder="1"/>
    <xf numFmtId="2" fontId="0" fillId="4" borderId="38" xfId="0" applyNumberFormat="1" applyFill="1" applyBorder="1"/>
    <xf numFmtId="2" fontId="0" fillId="4" borderId="82" xfId="0" applyNumberFormat="1" applyFill="1" applyBorder="1"/>
    <xf numFmtId="2" fontId="0" fillId="5" borderId="84" xfId="0" applyNumberFormat="1" applyFill="1" applyBorder="1"/>
    <xf numFmtId="2" fontId="0" fillId="5" borderId="38" xfId="0" applyNumberFormat="1" applyFill="1" applyBorder="1"/>
    <xf numFmtId="2" fontId="0" fillId="5" borderId="82" xfId="0" applyNumberFormat="1" applyFill="1" applyBorder="1"/>
    <xf numFmtId="2" fontId="0" fillId="6" borderId="84" xfId="0" applyNumberFormat="1" applyFill="1" applyBorder="1"/>
    <xf numFmtId="2" fontId="0" fillId="6" borderId="37" xfId="0" applyNumberFormat="1" applyFill="1" applyBorder="1"/>
    <xf numFmtId="2" fontId="0" fillId="6" borderId="36" xfId="0" applyNumberFormat="1" applyFill="1" applyBorder="1"/>
    <xf numFmtId="2" fontId="0" fillId="6" borderId="38" xfId="0" applyNumberFormat="1" applyFill="1" applyBorder="1"/>
    <xf numFmtId="2" fontId="0" fillId="6" borderId="82" xfId="0" applyNumberFormat="1" applyFill="1" applyBorder="1"/>
    <xf numFmtId="0" fontId="2" fillId="0" borderId="81" xfId="0" applyFont="1" applyBorder="1"/>
    <xf numFmtId="2" fontId="0" fillId="3" borderId="63" xfId="0" applyNumberFormat="1" applyFill="1" applyBorder="1"/>
    <xf numFmtId="2" fontId="0" fillId="11" borderId="63" xfId="0" applyNumberFormat="1" applyFill="1" applyBorder="1"/>
    <xf numFmtId="2" fontId="0" fillId="4" borderId="63" xfId="0" applyNumberFormat="1" applyFill="1" applyBorder="1"/>
    <xf numFmtId="2" fontId="0" fillId="5" borderId="63" xfId="0" applyNumberFormat="1" applyFill="1" applyBorder="1"/>
    <xf numFmtId="2" fontId="0" fillId="6" borderId="63" xfId="0" applyNumberFormat="1" applyFill="1" applyBorder="1"/>
    <xf numFmtId="2" fontId="2" fillId="0" borderId="84" xfId="0" applyNumberFormat="1" applyFont="1" applyBorder="1"/>
    <xf numFmtId="2" fontId="2" fillId="0" borderId="37" xfId="0" applyNumberFormat="1" applyFont="1" applyBorder="1"/>
    <xf numFmtId="2" fontId="2" fillId="0" borderId="36" xfId="0" applyNumberFormat="1" applyFont="1" applyBorder="1"/>
    <xf numFmtId="2" fontId="2" fillId="0" borderId="38" xfId="0" applyNumberFormat="1" applyFont="1" applyBorder="1"/>
    <xf numFmtId="2" fontId="2" fillId="0" borderId="82" xfId="0" applyNumberFormat="1" applyFont="1" applyBorder="1"/>
    <xf numFmtId="2" fontId="2" fillId="0" borderId="63" xfId="0" applyNumberFormat="1" applyFont="1" applyBorder="1"/>
    <xf numFmtId="4" fontId="2" fillId="0" borderId="13" xfId="0" applyNumberFormat="1" applyFont="1" applyBorder="1"/>
    <xf numFmtId="4" fontId="2" fillId="0" borderId="2" xfId="0" applyNumberFormat="1" applyFont="1" applyBorder="1" applyAlignment="1">
      <alignment horizontal="center"/>
    </xf>
    <xf numFmtId="4" fontId="2" fillId="0" borderId="2" xfId="0" applyNumberFormat="1" applyFont="1" applyBorder="1"/>
    <xf numFmtId="4" fontId="2" fillId="0" borderId="8" xfId="0" applyNumberFormat="1" applyFont="1" applyBorder="1" applyAlignment="1">
      <alignment horizontal="center"/>
    </xf>
    <xf numFmtId="4" fontId="2" fillId="0" borderId="9" xfId="0" applyNumberFormat="1" applyFont="1" applyBorder="1" applyAlignment="1">
      <alignment horizontal="center"/>
    </xf>
    <xf numFmtId="4" fontId="2" fillId="0" borderId="91" xfId="0" applyNumberFormat="1" applyFont="1" applyBorder="1" applyAlignment="1">
      <alignment horizontal="center"/>
    </xf>
    <xf numFmtId="3" fontId="0" fillId="0" borderId="23" xfId="0" applyNumberFormat="1" applyBorder="1"/>
    <xf numFmtId="3" fontId="0" fillId="0" borderId="87" xfId="0" applyNumberFormat="1" applyBorder="1" applyAlignment="1">
      <alignment horizontal="center"/>
    </xf>
    <xf numFmtId="4" fontId="0" fillId="0" borderId="20" xfId="0" applyNumberFormat="1" applyBorder="1" applyAlignment="1">
      <alignment horizontal="center"/>
    </xf>
    <xf numFmtId="3" fontId="2" fillId="0" borderId="8" xfId="0" applyNumberFormat="1" applyFont="1" applyBorder="1"/>
    <xf numFmtId="4" fontId="0" fillId="0" borderId="87" xfId="0" applyNumberFormat="1" applyBorder="1" applyAlignment="1">
      <alignment horizontal="center"/>
    </xf>
    <xf numFmtId="4" fontId="2" fillId="0" borderId="15" xfId="0" applyNumberFormat="1" applyFont="1" applyBorder="1" applyAlignment="1">
      <alignment horizontal="center" vertical="center" wrapText="1"/>
    </xf>
    <xf numFmtId="1" fontId="2" fillId="0" borderId="9" xfId="0" applyNumberFormat="1" applyFont="1" applyBorder="1" applyAlignment="1">
      <alignment horizontal="center"/>
    </xf>
    <xf numFmtId="1" fontId="2" fillId="0" borderId="10" xfId="0" applyNumberFormat="1" applyFont="1" applyBorder="1" applyAlignment="1">
      <alignment horizontal="center"/>
    </xf>
    <xf numFmtId="4" fontId="0" fillId="0" borderId="6" xfId="1" applyNumberFormat="1" applyFont="1" applyBorder="1" applyAlignment="1">
      <alignment horizontal="center"/>
    </xf>
    <xf numFmtId="4" fontId="0" fillId="0" borderId="1" xfId="1" applyNumberFormat="1" applyFont="1" applyBorder="1" applyAlignment="1">
      <alignment horizontal="center"/>
    </xf>
    <xf numFmtId="4" fontId="0" fillId="0" borderId="7" xfId="1" applyNumberFormat="1" applyFont="1" applyBorder="1" applyAlignment="1">
      <alignment horizontal="center"/>
    </xf>
    <xf numFmtId="4" fontId="2" fillId="0" borderId="13" xfId="0" applyNumberFormat="1" applyFont="1" applyBorder="1" applyAlignment="1">
      <alignment horizontal="center" vertical="center" wrapText="1"/>
    </xf>
    <xf numFmtId="3" fontId="2" fillId="0" borderId="19" xfId="0" applyNumberFormat="1" applyFont="1" applyBorder="1" applyAlignment="1">
      <alignment vertical="center" wrapText="1"/>
    </xf>
    <xf numFmtId="3" fontId="0" fillId="0" borderId="20" xfId="0" applyNumberFormat="1" applyBorder="1"/>
    <xf numFmtId="3" fontId="0" fillId="0" borderId="87" xfId="0" applyNumberFormat="1" applyBorder="1"/>
    <xf numFmtId="3" fontId="2" fillId="0" borderId="2" xfId="0" applyNumberFormat="1" applyFont="1" applyBorder="1" applyAlignment="1">
      <alignment vertical="center" wrapText="1"/>
    </xf>
    <xf numFmtId="4" fontId="2" fillId="0" borderId="14" xfId="0" applyNumberFormat="1" applyFont="1" applyBorder="1" applyAlignment="1">
      <alignment horizontal="center" vertical="center" wrapText="1"/>
    </xf>
    <xf numFmtId="4" fontId="2" fillId="0" borderId="2" xfId="0" applyNumberFormat="1" applyFont="1" applyBorder="1" applyAlignment="1">
      <alignment horizontal="center" vertical="center" wrapText="1"/>
    </xf>
    <xf numFmtId="3" fontId="2" fillId="0" borderId="14" xfId="0" applyNumberFormat="1" applyFont="1" applyBorder="1" applyAlignment="1">
      <alignment horizontal="center" vertical="center" wrapText="1"/>
    </xf>
    <xf numFmtId="3" fontId="2" fillId="0" borderId="15" xfId="0" applyNumberFormat="1" applyFont="1" applyBorder="1" applyAlignment="1">
      <alignment horizontal="center" vertical="center" wrapText="1"/>
    </xf>
    <xf numFmtId="3" fontId="2" fillId="0" borderId="2" xfId="0" applyNumberFormat="1" applyFont="1" applyBorder="1" applyAlignment="1">
      <alignment horizontal="center" vertical="center" wrapText="1"/>
    </xf>
    <xf numFmtId="3" fontId="2" fillId="0" borderId="16" xfId="0" applyNumberFormat="1" applyFont="1" applyBorder="1" applyAlignment="1">
      <alignment horizontal="center" vertical="center" wrapText="1"/>
    </xf>
    <xf numFmtId="0" fontId="12" fillId="0" borderId="0" xfId="0" applyFont="1"/>
    <xf numFmtId="0" fontId="0" fillId="0" borderId="0" xfId="0" applyAlignment="1">
      <alignment vertical="center"/>
    </xf>
    <xf numFmtId="0" fontId="0" fillId="0" borderId="6" xfId="0" applyBorder="1"/>
    <xf numFmtId="0" fontId="2" fillId="0" borderId="6" xfId="0" applyFont="1" applyBorder="1"/>
    <xf numFmtId="164" fontId="0" fillId="0" borderId="0" xfId="0" applyNumberFormat="1"/>
    <xf numFmtId="44" fontId="0" fillId="0" borderId="7" xfId="0" applyNumberFormat="1" applyBorder="1"/>
    <xf numFmtId="44" fontId="2" fillId="0" borderId="7" xfId="0" applyNumberFormat="1" applyFont="1" applyBorder="1"/>
    <xf numFmtId="164" fontId="12" fillId="0" borderId="0" xfId="0" applyNumberFormat="1" applyFont="1"/>
    <xf numFmtId="0" fontId="2" fillId="0" borderId="3" xfId="0" applyFont="1" applyBorder="1"/>
    <xf numFmtId="0" fontId="0" fillId="0" borderId="8" xfId="0" applyBorder="1"/>
    <xf numFmtId="0" fontId="2" fillId="0" borderId="8" xfId="0" applyFont="1" applyBorder="1"/>
    <xf numFmtId="44" fontId="2" fillId="0" borderId="10" xfId="0" applyNumberFormat="1" applyFont="1" applyBorder="1"/>
    <xf numFmtId="44" fontId="2" fillId="0" borderId="12" xfId="3" applyFont="1" applyFill="1" applyBorder="1"/>
    <xf numFmtId="0" fontId="2" fillId="0" borderId="15" xfId="0" applyFont="1" applyBorder="1" applyAlignment="1">
      <alignment horizontal="center" vertical="center" wrapText="1"/>
    </xf>
    <xf numFmtId="0" fontId="2" fillId="0" borderId="93" xfId="0" applyFont="1" applyBorder="1" applyAlignment="1">
      <alignment horizontal="center" vertical="center" wrapText="1"/>
    </xf>
    <xf numFmtId="44" fontId="2" fillId="0" borderId="94" xfId="3" applyFont="1" applyFill="1" applyBorder="1"/>
    <xf numFmtId="44" fontId="0" fillId="0" borderId="95" xfId="0" applyNumberFormat="1" applyBorder="1"/>
    <xf numFmtId="44" fontId="2" fillId="0" borderId="96" xfId="0" applyNumberFormat="1" applyFont="1" applyBorder="1"/>
    <xf numFmtId="0" fontId="2" fillId="0" borderId="2" xfId="0" applyFont="1" applyBorder="1" applyAlignment="1">
      <alignment vertical="center"/>
    </xf>
    <xf numFmtId="0" fontId="2" fillId="0" borderId="17" xfId="0" applyFont="1" applyBorder="1"/>
    <xf numFmtId="0" fontId="0" fillId="0" borderId="20" xfId="0" applyBorder="1"/>
    <xf numFmtId="0" fontId="2" fillId="0" borderId="18" xfId="0" applyFont="1" applyBorder="1"/>
    <xf numFmtId="10" fontId="0" fillId="0" borderId="0" xfId="1" applyNumberFormat="1" applyFont="1"/>
    <xf numFmtId="44" fontId="0" fillId="0" borderId="0" xfId="0" applyNumberFormat="1"/>
    <xf numFmtId="44" fontId="0" fillId="0" borderId="7" xfId="2" applyFont="1" applyBorder="1"/>
    <xf numFmtId="44" fontId="0" fillId="0" borderId="26" xfId="2" applyFont="1" applyBorder="1"/>
    <xf numFmtId="0" fontId="0" fillId="0" borderId="17" xfId="0" applyBorder="1"/>
    <xf numFmtId="44" fontId="0" fillId="0" borderId="12" xfId="0" applyNumberFormat="1" applyBorder="1"/>
    <xf numFmtId="0" fontId="2" fillId="0" borderId="16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0" fillId="0" borderId="2" xfId="0" applyBorder="1"/>
    <xf numFmtId="0" fontId="2" fillId="0" borderId="2" xfId="0" applyFont="1" applyBorder="1"/>
    <xf numFmtId="44" fontId="2" fillId="0" borderId="15" xfId="0" applyNumberFormat="1" applyFont="1" applyBorder="1"/>
    <xf numFmtId="0" fontId="3" fillId="0" borderId="0" xfId="0" applyFont="1"/>
    <xf numFmtId="10" fontId="0" fillId="0" borderId="15" xfId="1" applyNumberFormat="1" applyFont="1" applyBorder="1" applyAlignment="1">
      <alignment horizontal="center"/>
    </xf>
    <xf numFmtId="44" fontId="0" fillId="0" borderId="16" xfId="2" applyFont="1" applyBorder="1"/>
    <xf numFmtId="44" fontId="0" fillId="0" borderId="14" xfId="2" applyFont="1" applyBorder="1"/>
    <xf numFmtId="44" fontId="0" fillId="0" borderId="15" xfId="2" applyFont="1" applyBorder="1"/>
    <xf numFmtId="0" fontId="0" fillId="0" borderId="92" xfId="0" applyBorder="1"/>
    <xf numFmtId="0" fontId="2" fillId="0" borderId="15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44" fontId="0" fillId="0" borderId="27" xfId="0" applyNumberFormat="1" applyBorder="1"/>
    <xf numFmtId="44" fontId="0" fillId="0" borderId="28" xfId="2" applyFont="1" applyBorder="1"/>
    <xf numFmtId="0" fontId="2" fillId="0" borderId="2" xfId="0" applyFont="1" applyBorder="1" applyAlignment="1">
      <alignment horizontal="center"/>
    </xf>
    <xf numFmtId="44" fontId="2" fillId="0" borderId="19" xfId="0" applyNumberFormat="1" applyFont="1" applyBorder="1"/>
    <xf numFmtId="44" fontId="2" fillId="0" borderId="20" xfId="2" applyFont="1" applyBorder="1"/>
    <xf numFmtId="44" fontId="2" fillId="0" borderId="18" xfId="2" applyFont="1" applyBorder="1"/>
    <xf numFmtId="44" fontId="2" fillId="0" borderId="2" xfId="0" applyNumberFormat="1" applyFont="1" applyBorder="1"/>
    <xf numFmtId="0" fontId="2" fillId="0" borderId="93" xfId="0" applyFont="1" applyBorder="1" applyAlignment="1">
      <alignment horizontal="center"/>
    </xf>
    <xf numFmtId="44" fontId="0" fillId="0" borderId="94" xfId="0" applyNumberFormat="1" applyBorder="1"/>
    <xf numFmtId="44" fontId="0" fillId="0" borderId="99" xfId="2" applyFont="1" applyBorder="1"/>
    <xf numFmtId="44" fontId="2" fillId="0" borderId="93" xfId="0" applyNumberFormat="1" applyFont="1" applyBorder="1"/>
    <xf numFmtId="0" fontId="0" fillId="0" borderId="87" xfId="0" applyBorder="1"/>
    <xf numFmtId="44" fontId="0" fillId="0" borderId="99" xfId="0" applyNumberFormat="1" applyBorder="1"/>
    <xf numFmtId="44" fontId="0" fillId="0" borderId="26" xfId="0" applyNumberFormat="1" applyBorder="1"/>
    <xf numFmtId="44" fontId="0" fillId="0" borderId="28" xfId="0" applyNumberFormat="1" applyBorder="1"/>
    <xf numFmtId="44" fontId="2" fillId="0" borderId="87" xfId="2" applyFont="1" applyBorder="1"/>
    <xf numFmtId="0" fontId="0" fillId="0" borderId="100" xfId="0" applyBorder="1"/>
    <xf numFmtId="44" fontId="0" fillId="0" borderId="97" xfId="2" applyFont="1" applyBorder="1"/>
    <xf numFmtId="44" fontId="0" fillId="0" borderId="101" xfId="2" applyFont="1" applyBorder="1"/>
    <xf numFmtId="44" fontId="0" fillId="0" borderId="102" xfId="2" applyFont="1" applyBorder="1"/>
    <xf numFmtId="0" fontId="12" fillId="0" borderId="20" xfId="0" applyFont="1" applyBorder="1"/>
    <xf numFmtId="165" fontId="12" fillId="0" borderId="95" xfId="0" applyNumberFormat="1" applyFont="1" applyBorder="1" applyAlignment="1">
      <alignment horizontal="center"/>
    </xf>
    <xf numFmtId="165" fontId="12" fillId="0" borderId="7" xfId="0" applyNumberFormat="1" applyFont="1" applyBorder="1" applyAlignment="1">
      <alignment horizontal="center"/>
    </xf>
    <xf numFmtId="165" fontId="12" fillId="0" borderId="27" xfId="0" applyNumberFormat="1" applyFont="1" applyBorder="1" applyAlignment="1">
      <alignment horizontal="center"/>
    </xf>
    <xf numFmtId="165" fontId="3" fillId="0" borderId="20" xfId="2" applyNumberFormat="1" applyFont="1" applyBorder="1" applyAlignment="1">
      <alignment horizontal="center"/>
    </xf>
    <xf numFmtId="0" fontId="12" fillId="0" borderId="87" xfId="0" applyFont="1" applyBorder="1"/>
    <xf numFmtId="165" fontId="12" fillId="0" borderId="99" xfId="2" applyNumberFormat="1" applyFont="1" applyBorder="1" applyAlignment="1">
      <alignment horizontal="center"/>
    </xf>
    <xf numFmtId="165" fontId="12" fillId="0" borderId="26" xfId="2" applyNumberFormat="1" applyFont="1" applyBorder="1" applyAlignment="1">
      <alignment horizontal="center"/>
    </xf>
    <xf numFmtId="165" fontId="12" fillId="0" borderId="28" xfId="2" applyNumberFormat="1" applyFont="1" applyBorder="1" applyAlignment="1">
      <alignment horizontal="center"/>
    </xf>
    <xf numFmtId="165" fontId="3" fillId="0" borderId="18" xfId="2" applyNumberFormat="1" applyFont="1" applyBorder="1" applyAlignment="1">
      <alignment horizontal="center"/>
    </xf>
    <xf numFmtId="10" fontId="3" fillId="0" borderId="18" xfId="1" applyNumberFormat="1" applyFont="1" applyBorder="1" applyAlignment="1">
      <alignment horizontal="center"/>
    </xf>
    <xf numFmtId="44" fontId="0" fillId="0" borderId="103" xfId="0" applyNumberFormat="1" applyBorder="1"/>
    <xf numFmtId="44" fontId="2" fillId="0" borderId="17" xfId="0" applyNumberFormat="1" applyFont="1" applyBorder="1"/>
    <xf numFmtId="0" fontId="2" fillId="0" borderId="104" xfId="0" applyFont="1" applyBorder="1"/>
    <xf numFmtId="44" fontId="2" fillId="0" borderId="104" xfId="0" applyNumberFormat="1" applyFont="1" applyBorder="1"/>
    <xf numFmtId="44" fontId="0" fillId="0" borderId="17" xfId="0" applyNumberFormat="1" applyBorder="1"/>
    <xf numFmtId="44" fontId="0" fillId="0" borderId="20" xfId="0" applyNumberFormat="1" applyBorder="1"/>
    <xf numFmtId="44" fontId="0" fillId="0" borderId="87" xfId="2" applyFont="1" applyBorder="1"/>
    <xf numFmtId="44" fontId="12" fillId="0" borderId="99" xfId="2" applyFont="1" applyBorder="1"/>
    <xf numFmtId="44" fontId="12" fillId="0" borderId="26" xfId="2" applyFont="1" applyBorder="1"/>
    <xf numFmtId="44" fontId="12" fillId="0" borderId="28" xfId="2" applyFont="1" applyBorder="1"/>
    <xf numFmtId="44" fontId="3" fillId="0" borderId="87" xfId="2" applyFont="1" applyBorder="1"/>
    <xf numFmtId="44" fontId="2" fillId="0" borderId="93" xfId="2" applyFont="1" applyBorder="1"/>
    <xf numFmtId="44" fontId="2" fillId="0" borderId="88" xfId="2" applyFont="1" applyBorder="1"/>
    <xf numFmtId="0" fontId="0" fillId="0" borderId="3" xfId="0" applyBorder="1"/>
    <xf numFmtId="10" fontId="3" fillId="0" borderId="10" xfId="1" applyNumberFormat="1" applyFont="1" applyBorder="1" applyAlignment="1">
      <alignment horizontal="center"/>
    </xf>
    <xf numFmtId="44" fontId="2" fillId="0" borderId="17" xfId="2" applyFont="1" applyBorder="1"/>
    <xf numFmtId="0" fontId="2" fillId="0" borderId="19" xfId="0" applyFont="1" applyBorder="1"/>
    <xf numFmtId="44" fontId="2" fillId="0" borderId="105" xfId="2" applyFont="1" applyBorder="1"/>
    <xf numFmtId="44" fontId="2" fillId="0" borderId="5" xfId="2" applyFont="1" applyBorder="1"/>
    <xf numFmtId="44" fontId="2" fillId="0" borderId="86" xfId="2" applyFont="1" applyBorder="1"/>
    <xf numFmtId="44" fontId="2" fillId="0" borderId="19" xfId="2" applyFont="1" applyBorder="1"/>
    <xf numFmtId="0" fontId="12" fillId="0" borderId="18" xfId="0" applyFont="1" applyBorder="1"/>
    <xf numFmtId="10" fontId="12" fillId="0" borderId="96" xfId="1" applyNumberFormat="1" applyFont="1" applyBorder="1" applyAlignment="1">
      <alignment horizontal="center"/>
    </xf>
    <xf numFmtId="10" fontId="12" fillId="0" borderId="10" xfId="1" applyNumberFormat="1" applyFont="1" applyBorder="1" applyAlignment="1">
      <alignment horizontal="center"/>
    </xf>
    <xf numFmtId="10" fontId="12" fillId="0" borderId="91" xfId="1" applyNumberFormat="1" applyFont="1" applyBorder="1" applyAlignment="1">
      <alignment horizontal="center"/>
    </xf>
    <xf numFmtId="10" fontId="12" fillId="0" borderId="5" xfId="1" applyNumberFormat="1" applyFont="1" applyBorder="1" applyAlignment="1">
      <alignment horizontal="center"/>
    </xf>
    <xf numFmtId="44" fontId="2" fillId="0" borderId="5" xfId="0" applyNumberFormat="1" applyFont="1" applyBorder="1"/>
    <xf numFmtId="10" fontId="3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3" borderId="35" xfId="0" applyFont="1" applyFill="1" applyBorder="1" applyAlignment="1">
      <alignment horizontal="center"/>
    </xf>
    <xf numFmtId="0" fontId="2" fillId="8" borderId="39" xfId="0" applyFont="1" applyFill="1" applyBorder="1" applyAlignment="1">
      <alignment horizontal="center"/>
    </xf>
    <xf numFmtId="0" fontId="2" fillId="8" borderId="41" xfId="0" applyFont="1" applyFill="1" applyBorder="1" applyAlignment="1">
      <alignment horizontal="center"/>
    </xf>
    <xf numFmtId="0" fontId="2" fillId="4" borderId="35" xfId="0" applyFont="1" applyFill="1" applyBorder="1" applyAlignment="1">
      <alignment horizontal="center"/>
    </xf>
    <xf numFmtId="0" fontId="2" fillId="9" borderId="39" xfId="0" applyFont="1" applyFill="1" applyBorder="1" applyAlignment="1">
      <alignment horizontal="center"/>
    </xf>
    <xf numFmtId="0" fontId="2" fillId="9" borderId="41" xfId="0" applyFont="1" applyFill="1" applyBorder="1" applyAlignment="1">
      <alignment horizontal="center"/>
    </xf>
    <xf numFmtId="0" fontId="2" fillId="5" borderId="35" xfId="0" applyFont="1" applyFill="1" applyBorder="1" applyAlignment="1">
      <alignment horizontal="center"/>
    </xf>
    <xf numFmtId="0" fontId="2" fillId="10" borderId="39" xfId="0" applyFont="1" applyFill="1" applyBorder="1" applyAlignment="1">
      <alignment horizontal="center"/>
    </xf>
    <xf numFmtId="0" fontId="2" fillId="10" borderId="41" xfId="0" applyFont="1" applyFill="1" applyBorder="1" applyAlignment="1">
      <alignment horizontal="center"/>
    </xf>
    <xf numFmtId="0" fontId="8" fillId="5" borderId="35" xfId="0" applyFont="1" applyFill="1" applyBorder="1" applyAlignment="1">
      <alignment horizontal="center"/>
    </xf>
    <xf numFmtId="0" fontId="8" fillId="10" borderId="56" xfId="0" applyFont="1" applyFill="1" applyBorder="1" applyAlignment="1">
      <alignment horizontal="center"/>
    </xf>
    <xf numFmtId="0" fontId="8" fillId="10" borderId="58" xfId="0" applyFont="1" applyFill="1" applyBorder="1" applyAlignment="1">
      <alignment horizontal="center"/>
    </xf>
    <xf numFmtId="0" fontId="8" fillId="0" borderId="50" xfId="0" applyFont="1" applyBorder="1" applyAlignment="1">
      <alignment horizontal="center"/>
    </xf>
    <xf numFmtId="0" fontId="8" fillId="0" borderId="54" xfId="0" applyFont="1" applyBorder="1" applyAlignment="1">
      <alignment horizontal="center"/>
    </xf>
    <xf numFmtId="0" fontId="8" fillId="0" borderId="41" xfId="0" applyFont="1" applyBorder="1" applyAlignment="1">
      <alignment horizontal="center"/>
    </xf>
    <xf numFmtId="0" fontId="2" fillId="3" borderId="106" xfId="0" applyFont="1" applyFill="1" applyBorder="1"/>
    <xf numFmtId="0" fontId="2" fillId="8" borderId="93" xfId="0" applyFont="1" applyFill="1" applyBorder="1"/>
    <xf numFmtId="0" fontId="2" fillId="8" borderId="90" xfId="0" applyFont="1" applyFill="1" applyBorder="1"/>
    <xf numFmtId="0" fontId="2" fillId="3" borderId="2" xfId="0" applyFont="1" applyFill="1" applyBorder="1" applyAlignment="1">
      <alignment horizontal="center"/>
    </xf>
    <xf numFmtId="0" fontId="2" fillId="8" borderId="2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vertical="center" wrapText="1"/>
    </xf>
    <xf numFmtId="2" fontId="2" fillId="0" borderId="15" xfId="0" applyNumberFormat="1" applyFont="1" applyBorder="1" applyAlignment="1">
      <alignment horizontal="center" vertical="center"/>
    </xf>
    <xf numFmtId="4" fontId="2" fillId="0" borderId="93" xfId="0" applyNumberFormat="1" applyFont="1" applyBorder="1"/>
    <xf numFmtId="4" fontId="2" fillId="0" borderId="14" xfId="0" applyNumberFormat="1" applyFont="1" applyBorder="1"/>
    <xf numFmtId="4" fontId="2" fillId="0" borderId="15" xfId="0" applyNumberFormat="1" applyFont="1" applyBorder="1"/>
    <xf numFmtId="4" fontId="2" fillId="0" borderId="94" xfId="0" applyNumberFormat="1" applyFont="1" applyBorder="1"/>
    <xf numFmtId="4" fontId="2" fillId="0" borderId="95" xfId="0" applyNumberFormat="1" applyFont="1" applyBorder="1"/>
    <xf numFmtId="4" fontId="2" fillId="0" borderId="99" xfId="0" applyNumberFormat="1" applyFont="1" applyBorder="1"/>
    <xf numFmtId="4" fontId="2" fillId="0" borderId="24" xfId="0" applyNumberFormat="1" applyFont="1" applyBorder="1" applyAlignment="1">
      <alignment horizontal="center"/>
    </xf>
    <xf numFmtId="4" fontId="2" fillId="0" borderId="25" xfId="0" applyNumberFormat="1" applyFont="1" applyBorder="1" applyAlignment="1">
      <alignment horizontal="center"/>
    </xf>
    <xf numFmtId="4" fontId="2" fillId="0" borderId="28" xfId="0" applyNumberFormat="1" applyFont="1" applyBorder="1" applyAlignment="1">
      <alignment horizontal="center"/>
    </xf>
    <xf numFmtId="4" fontId="2" fillId="0" borderId="107" xfId="0" applyNumberFormat="1" applyFont="1" applyBorder="1"/>
    <xf numFmtId="4" fontId="2" fillId="0" borderId="108" xfId="0" applyNumberFormat="1" applyFont="1" applyBorder="1"/>
    <xf numFmtId="4" fontId="2" fillId="0" borderId="109" xfId="0" applyNumberFormat="1" applyFont="1" applyBorder="1"/>
    <xf numFmtId="4" fontId="0" fillId="0" borderId="13" xfId="0" applyNumberFormat="1" applyBorder="1"/>
    <xf numFmtId="4" fontId="0" fillId="0" borderId="14" xfId="0" applyNumberFormat="1" applyBorder="1"/>
    <xf numFmtId="4" fontId="0" fillId="0" borderId="15" xfId="0" applyNumberFormat="1" applyBorder="1"/>
    <xf numFmtId="166" fontId="0" fillId="0" borderId="13" xfId="0" applyNumberFormat="1" applyBorder="1"/>
    <xf numFmtId="166" fontId="0" fillId="0" borderId="14" xfId="0" applyNumberFormat="1" applyBorder="1"/>
    <xf numFmtId="166" fontId="0" fillId="0" borderId="15" xfId="0" applyNumberFormat="1" applyBorder="1"/>
    <xf numFmtId="0" fontId="2" fillId="0" borderId="31" xfId="0" applyFont="1" applyBorder="1" applyAlignment="1">
      <alignment horizontal="center" vertical="center" wrapText="1"/>
    </xf>
    <xf numFmtId="0" fontId="2" fillId="0" borderId="31" xfId="0" applyFont="1" applyBorder="1" applyAlignment="1">
      <alignment vertical="center" wrapText="1"/>
    </xf>
    <xf numFmtId="3" fontId="2" fillId="0" borderId="13" xfId="0" applyNumberFormat="1" applyFont="1" applyBorder="1" applyAlignment="1">
      <alignment horizontal="center" vertical="center" wrapText="1"/>
    </xf>
    <xf numFmtId="0" fontId="8" fillId="0" borderId="107" xfId="0" applyFont="1" applyBorder="1" applyAlignment="1">
      <alignment horizontal="center" vertical="center" wrapText="1"/>
    </xf>
    <xf numFmtId="0" fontId="8" fillId="0" borderId="112" xfId="0" applyFont="1" applyBorder="1" applyAlignment="1">
      <alignment horizontal="center" vertical="center" wrapText="1"/>
    </xf>
    <xf numFmtId="3" fontId="8" fillId="0" borderId="107" xfId="0" applyNumberFormat="1" applyFont="1" applyBorder="1" applyAlignment="1">
      <alignment horizontal="center" vertical="center" wrapText="1"/>
    </xf>
    <xf numFmtId="44" fontId="12" fillId="0" borderId="94" xfId="0" applyNumberFormat="1" applyFont="1" applyBorder="1"/>
    <xf numFmtId="44" fontId="12" fillId="0" borderId="12" xfId="0" applyNumberFormat="1" applyFont="1" applyBorder="1"/>
    <xf numFmtId="44" fontId="12" fillId="0" borderId="98" xfId="0" applyNumberFormat="1" applyFont="1" applyBorder="1"/>
    <xf numFmtId="0" fontId="5" fillId="0" borderId="13" xfId="0" applyFont="1" applyBorder="1" applyAlignment="1">
      <alignment horizontal="center"/>
    </xf>
    <xf numFmtId="0" fontId="4" fillId="2" borderId="92" xfId="0" applyFont="1" applyFill="1" applyBorder="1"/>
    <xf numFmtId="0" fontId="4" fillId="0" borderId="8" xfId="0" applyFont="1" applyBorder="1"/>
    <xf numFmtId="44" fontId="0" fillId="0" borderId="0" xfId="2" applyFont="1" applyAlignment="1">
      <alignment vertical="center" wrapText="1"/>
    </xf>
    <xf numFmtId="44" fontId="0" fillId="0" borderId="0" xfId="0" applyNumberFormat="1" applyAlignment="1">
      <alignment vertical="center" wrapText="1"/>
    </xf>
    <xf numFmtId="0" fontId="0" fillId="0" borderId="46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77" xfId="0" applyBorder="1" applyAlignment="1">
      <alignment horizontal="center"/>
    </xf>
    <xf numFmtId="0" fontId="0" fillId="0" borderId="85" xfId="0" applyBorder="1" applyAlignment="1">
      <alignment horizontal="center"/>
    </xf>
    <xf numFmtId="4" fontId="2" fillId="0" borderId="88" xfId="0" applyNumberFormat="1" applyFont="1" applyBorder="1" applyAlignment="1">
      <alignment horizontal="center"/>
    </xf>
    <xf numFmtId="0" fontId="2" fillId="0" borderId="89" xfId="0" applyFont="1" applyBorder="1" applyAlignment="1">
      <alignment horizontal="center"/>
    </xf>
    <xf numFmtId="0" fontId="0" fillId="0" borderId="90" xfId="0" applyBorder="1"/>
    <xf numFmtId="0" fontId="0" fillId="0" borderId="58" xfId="0" applyBorder="1" applyAlignment="1">
      <alignment horizontal="center"/>
    </xf>
    <xf numFmtId="0" fontId="0" fillId="0" borderId="83" xfId="0" applyBorder="1" applyAlignment="1">
      <alignment horizontal="center"/>
    </xf>
    <xf numFmtId="0" fontId="2" fillId="0" borderId="78" xfId="0" applyFont="1" applyBorder="1" applyAlignment="1">
      <alignment horizontal="center"/>
    </xf>
    <xf numFmtId="0" fontId="2" fillId="0" borderId="79" xfId="0" applyFont="1" applyBorder="1" applyAlignment="1">
      <alignment horizontal="center"/>
    </xf>
    <xf numFmtId="0" fontId="2" fillId="0" borderId="80" xfId="0" applyFont="1" applyBorder="1" applyAlignment="1">
      <alignment horizontal="center"/>
    </xf>
    <xf numFmtId="0" fontId="8" fillId="0" borderId="113" xfId="0" applyFont="1" applyBorder="1" applyAlignment="1">
      <alignment horizontal="center"/>
    </xf>
    <xf numFmtId="0" fontId="8" fillId="0" borderId="111" xfId="0" applyFont="1" applyBorder="1" applyAlignment="1">
      <alignment horizontal="center"/>
    </xf>
    <xf numFmtId="0" fontId="2" fillId="0" borderId="110" xfId="0" applyFont="1" applyBorder="1" applyAlignment="1">
      <alignment horizontal="center"/>
    </xf>
    <xf numFmtId="0" fontId="0" fillId="0" borderId="93" xfId="0" applyBorder="1"/>
    <xf numFmtId="0" fontId="8" fillId="0" borderId="110" xfId="0" applyFont="1" applyBorder="1" applyAlignment="1">
      <alignment horizontal="center"/>
    </xf>
    <xf numFmtId="3" fontId="2" fillId="0" borderId="3" xfId="0" applyNumberFormat="1" applyFont="1" applyBorder="1" applyAlignment="1">
      <alignment horizontal="center"/>
    </xf>
    <xf numFmtId="3" fontId="2" fillId="0" borderId="4" xfId="0" applyNumberFormat="1" applyFont="1" applyBorder="1" applyAlignment="1">
      <alignment horizontal="center"/>
    </xf>
    <xf numFmtId="3" fontId="2" fillId="0" borderId="5" xfId="0" applyNumberFormat="1" applyFont="1" applyBorder="1" applyAlignment="1">
      <alignment horizontal="center"/>
    </xf>
    <xf numFmtId="0" fontId="2" fillId="9" borderId="54" xfId="0" applyFont="1" applyFill="1" applyBorder="1"/>
    <xf numFmtId="0" fontId="0" fillId="9" borderId="48" xfId="0" applyFill="1" applyBorder="1"/>
    <xf numFmtId="0" fontId="0" fillId="9" borderId="49" xfId="0" applyFill="1" applyBorder="1"/>
    <xf numFmtId="0" fontId="0" fillId="10" borderId="34" xfId="0" applyFill="1" applyBorder="1"/>
    <xf numFmtId="0" fontId="2" fillId="12" borderId="39" xfId="0" applyFont="1" applyFill="1" applyBorder="1"/>
    <xf numFmtId="0" fontId="2" fillId="13" borderId="35" xfId="0" applyFont="1" applyFill="1" applyBorder="1"/>
    <xf numFmtId="0" fontId="0" fillId="14" borderId="36" xfId="0" applyFill="1" applyBorder="1"/>
    <xf numFmtId="0" fontId="0" fillId="14" borderId="37" xfId="0" applyFill="1" applyBorder="1"/>
    <xf numFmtId="0" fontId="0" fillId="14" borderId="29" xfId="0" applyFill="1" applyBorder="1"/>
    <xf numFmtId="0" fontId="0" fillId="14" borderId="30" xfId="0" applyFill="1" applyBorder="1"/>
    <xf numFmtId="0" fontId="0" fillId="13" borderId="36" xfId="0" applyFill="1" applyBorder="1"/>
    <xf numFmtId="0" fontId="0" fillId="13" borderId="37" xfId="0" applyFill="1" applyBorder="1"/>
    <xf numFmtId="0" fontId="0" fillId="15" borderId="36" xfId="0" applyFill="1" applyBorder="1"/>
    <xf numFmtId="0" fontId="0" fillId="15" borderId="37" xfId="0" applyFill="1" applyBorder="1"/>
    <xf numFmtId="0" fontId="0" fillId="14" borderId="33" xfId="0" applyFill="1" applyBorder="1"/>
    <xf numFmtId="0" fontId="0" fillId="14" borderId="34" xfId="0" applyFill="1" applyBorder="1"/>
    <xf numFmtId="0" fontId="0" fillId="14" borderId="59" xfId="0" applyFill="1" applyBorder="1"/>
    <xf numFmtId="0" fontId="0" fillId="14" borderId="60" xfId="0" applyFill="1" applyBorder="1"/>
    <xf numFmtId="0" fontId="0" fillId="14" borderId="51" xfId="0" applyFill="1" applyBorder="1"/>
    <xf numFmtId="0" fontId="0" fillId="14" borderId="52" xfId="0" applyFill="1" applyBorder="1"/>
    <xf numFmtId="0" fontId="0" fillId="14" borderId="48" xfId="0" applyFill="1" applyBorder="1"/>
    <xf numFmtId="0" fontId="0" fillId="14" borderId="49" xfId="0" applyFill="1" applyBorder="1"/>
    <xf numFmtId="0" fontId="0" fillId="14" borderId="42" xfId="0" applyFill="1" applyBorder="1"/>
    <xf numFmtId="0" fontId="0" fillId="14" borderId="43" xfId="0" applyFill="1" applyBorder="1"/>
    <xf numFmtId="0" fontId="8" fillId="15" borderId="35" xfId="0" applyFont="1" applyFill="1" applyBorder="1"/>
    <xf numFmtId="0" fontId="0" fillId="13" borderId="51" xfId="0" applyFill="1" applyBorder="1"/>
    <xf numFmtId="0" fontId="0" fillId="13" borderId="52" xfId="0" applyFill="1" applyBorder="1"/>
    <xf numFmtId="0" fontId="0" fillId="12" borderId="29" xfId="0" applyFill="1" applyBorder="1"/>
    <xf numFmtId="0" fontId="0" fillId="12" borderId="30" xfId="0" applyFill="1" applyBorder="1"/>
    <xf numFmtId="0" fontId="0" fillId="12" borderId="48" xfId="0" applyFill="1" applyBorder="1"/>
    <xf numFmtId="0" fontId="0" fillId="12" borderId="49" xfId="0" applyFill="1" applyBorder="1"/>
    <xf numFmtId="0" fontId="0" fillId="12" borderId="42" xfId="0" applyFill="1" applyBorder="1"/>
    <xf numFmtId="0" fontId="0" fillId="12" borderId="43" xfId="0" applyFill="1" applyBorder="1"/>
    <xf numFmtId="0" fontId="8" fillId="12" borderId="54" xfId="0" applyFont="1" applyFill="1" applyBorder="1"/>
    <xf numFmtId="0" fontId="8" fillId="12" borderId="41" xfId="0" applyFont="1" applyFill="1" applyBorder="1"/>
    <xf numFmtId="0" fontId="8" fillId="13" borderId="50" xfId="0" applyFont="1" applyFill="1" applyBorder="1"/>
    <xf numFmtId="0" fontId="8" fillId="15" borderId="50" xfId="0" applyFont="1" applyFill="1" applyBorder="1"/>
    <xf numFmtId="0" fontId="8" fillId="10" borderId="54" xfId="0" applyFont="1" applyFill="1" applyBorder="1"/>
    <xf numFmtId="0" fontId="8" fillId="10" borderId="41" xfId="0" applyFont="1" applyFill="1" applyBorder="1"/>
    <xf numFmtId="0" fontId="0" fillId="10" borderId="49" xfId="0" applyFill="1" applyBorder="1"/>
    <xf numFmtId="0" fontId="0" fillId="10" borderId="48" xfId="0" applyFill="1" applyBorder="1"/>
    <xf numFmtId="0" fontId="0" fillId="15" borderId="52" xfId="0" applyFill="1" applyBorder="1"/>
    <xf numFmtId="0" fontId="0" fillId="15" borderId="51" xfId="0" applyFill="1" applyBorder="1"/>
    <xf numFmtId="0" fontId="0" fillId="13" borderId="6" xfId="0" applyFill="1" applyBorder="1" applyAlignment="1">
      <alignment horizontal="center" vertical="center"/>
    </xf>
    <xf numFmtId="2" fontId="0" fillId="13" borderId="1" xfId="0" applyNumberFormat="1" applyFill="1" applyBorder="1" applyAlignment="1">
      <alignment horizontal="center" vertical="center"/>
    </xf>
    <xf numFmtId="0" fontId="0" fillId="13" borderId="1" xfId="0" applyFill="1" applyBorder="1" applyAlignment="1">
      <alignment vertical="center" wrapText="1"/>
    </xf>
    <xf numFmtId="3" fontId="0" fillId="13" borderId="1" xfId="0" applyNumberFormat="1" applyFill="1" applyBorder="1" applyAlignment="1">
      <alignment horizontal="center" vertical="center"/>
    </xf>
    <xf numFmtId="2" fontId="0" fillId="13" borderId="7" xfId="0" applyNumberFormat="1" applyFill="1" applyBorder="1" applyAlignment="1">
      <alignment horizontal="center" vertical="center"/>
    </xf>
    <xf numFmtId="0" fontId="0" fillId="15" borderId="24" xfId="0" applyFill="1" applyBorder="1" applyAlignment="1">
      <alignment horizontal="center" vertical="center"/>
    </xf>
    <xf numFmtId="2" fontId="0" fillId="15" borderId="25" xfId="0" applyNumberFormat="1" applyFill="1" applyBorder="1" applyAlignment="1">
      <alignment horizontal="center" vertical="center"/>
    </xf>
    <xf numFmtId="0" fontId="0" fillId="15" borderId="25" xfId="0" applyFill="1" applyBorder="1" applyAlignment="1">
      <alignment vertical="center" wrapText="1"/>
    </xf>
    <xf numFmtId="3" fontId="0" fillId="15" borderId="25" xfId="0" applyNumberFormat="1" applyFill="1" applyBorder="1" applyAlignment="1">
      <alignment horizontal="center" vertical="center"/>
    </xf>
    <xf numFmtId="2" fontId="0" fillId="15" borderId="26" xfId="0" applyNumberForma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vertical="center" wrapText="1"/>
    </xf>
    <xf numFmtId="3" fontId="0" fillId="4" borderId="1" xfId="0" applyNumberFormat="1" applyFill="1" applyBorder="1" applyAlignment="1">
      <alignment horizontal="center" vertical="center"/>
    </xf>
    <xf numFmtId="2" fontId="0" fillId="4" borderId="7" xfId="0" applyNumberFormat="1" applyFill="1" applyBorder="1" applyAlignment="1">
      <alignment horizontal="center" vertical="center"/>
    </xf>
    <xf numFmtId="0" fontId="0" fillId="3" borderId="92" xfId="0" applyFill="1" applyBorder="1" applyAlignment="1">
      <alignment horizontal="center" vertical="center"/>
    </xf>
    <xf numFmtId="2" fontId="0" fillId="3" borderId="11" xfId="0" applyNumberFormat="1" applyFill="1" applyBorder="1" applyAlignment="1">
      <alignment horizontal="center" vertical="center"/>
    </xf>
    <xf numFmtId="0" fontId="0" fillId="3" borderId="11" xfId="0" applyFill="1" applyBorder="1" applyAlignment="1">
      <alignment vertical="center" wrapText="1"/>
    </xf>
    <xf numFmtId="3" fontId="0" fillId="3" borderId="11" xfId="0" applyNumberFormat="1" applyFill="1" applyBorder="1" applyAlignment="1">
      <alignment horizontal="center" vertical="center"/>
    </xf>
    <xf numFmtId="2" fontId="0" fillId="3" borderId="12" xfId="0" applyNumberFormat="1" applyFill="1" applyBorder="1" applyAlignment="1">
      <alignment horizontal="center" vertical="center"/>
    </xf>
    <xf numFmtId="2" fontId="0" fillId="8" borderId="29" xfId="0" applyNumberFormat="1" applyFill="1" applyBorder="1"/>
    <xf numFmtId="2" fontId="0" fillId="0" borderId="30" xfId="0" applyNumberFormat="1" applyBorder="1"/>
    <xf numFmtId="2" fontId="0" fillId="0" borderId="29" xfId="0" applyNumberFormat="1" applyBorder="1"/>
    <xf numFmtId="2" fontId="0" fillId="0" borderId="40" xfId="0" applyNumberFormat="1" applyBorder="1"/>
    <xf numFmtId="2" fontId="0" fillId="0" borderId="42" xfId="0" applyNumberFormat="1" applyBorder="1"/>
    <xf numFmtId="2" fontId="0" fillId="8" borderId="43" xfId="0" applyNumberFormat="1" applyFill="1" applyBorder="1"/>
    <xf numFmtId="2" fontId="0" fillId="14" borderId="42" xfId="0" applyNumberFormat="1" applyFill="1" applyBorder="1"/>
    <xf numFmtId="2" fontId="0" fillId="14" borderId="43" xfId="0" applyNumberFormat="1" applyFill="1" applyBorder="1"/>
    <xf numFmtId="2" fontId="0" fillId="0" borderId="43" xfId="0" applyNumberFormat="1" applyBorder="1"/>
    <xf numFmtId="2" fontId="0" fillId="0" borderId="44" xfId="0" applyNumberFormat="1" applyBorder="1"/>
    <xf numFmtId="2" fontId="0" fillId="9" borderId="29" xfId="0" applyNumberFormat="1" applyFill="1" applyBorder="1"/>
    <xf numFmtId="2" fontId="0" fillId="9" borderId="30" xfId="0" applyNumberFormat="1" applyFill="1" applyBorder="1"/>
    <xf numFmtId="2" fontId="0" fillId="14" borderId="29" xfId="0" applyNumberFormat="1" applyFill="1" applyBorder="1"/>
    <xf numFmtId="2" fontId="0" fillId="14" borderId="30" xfId="0" applyNumberFormat="1" applyFill="1" applyBorder="1"/>
    <xf numFmtId="2" fontId="0" fillId="0" borderId="48" xfId="0" applyNumberFormat="1" applyBorder="1"/>
    <xf numFmtId="2" fontId="0" fillId="0" borderId="49" xfId="0" applyNumberFormat="1" applyBorder="1"/>
    <xf numFmtId="2" fontId="0" fillId="14" borderId="48" xfId="0" applyNumberFormat="1" applyFill="1" applyBorder="1"/>
    <xf numFmtId="2" fontId="0" fillId="14" borderId="49" xfId="0" applyNumberFormat="1" applyFill="1" applyBorder="1"/>
    <xf numFmtId="2" fontId="0" fillId="0" borderId="55" xfId="0" applyNumberFormat="1" applyBorder="1"/>
    <xf numFmtId="2" fontId="0" fillId="14" borderId="36" xfId="0" applyNumberFormat="1" applyFill="1" applyBorder="1"/>
    <xf numFmtId="2" fontId="0" fillId="14" borderId="37" xfId="0" applyNumberFormat="1" applyFill="1" applyBorder="1"/>
    <xf numFmtId="2" fontId="0" fillId="13" borderId="36" xfId="0" applyNumberFormat="1" applyFill="1" applyBorder="1"/>
    <xf numFmtId="2" fontId="0" fillId="13" borderId="37" xfId="0" applyNumberFormat="1" applyFill="1" applyBorder="1"/>
    <xf numFmtId="2" fontId="0" fillId="12" borderId="29" xfId="0" applyNumberFormat="1" applyFill="1" applyBorder="1"/>
    <xf numFmtId="2" fontId="0" fillId="12" borderId="30" xfId="0" applyNumberFormat="1" applyFill="1" applyBorder="1"/>
    <xf numFmtId="2" fontId="0" fillId="15" borderId="36" xfId="0" applyNumberFormat="1" applyFill="1" applyBorder="1"/>
    <xf numFmtId="2" fontId="0" fillId="15" borderId="37" xfId="0" applyNumberFormat="1" applyFill="1" applyBorder="1"/>
    <xf numFmtId="2" fontId="0" fillId="0" borderId="33" xfId="0" applyNumberFormat="1" applyBorder="1"/>
    <xf numFmtId="2" fontId="0" fillId="0" borderId="34" xfId="0" applyNumberFormat="1" applyBorder="1"/>
    <xf numFmtId="2" fontId="0" fillId="10" borderId="33" xfId="0" applyNumberFormat="1" applyFill="1" applyBorder="1"/>
    <xf numFmtId="2" fontId="0" fillId="14" borderId="33" xfId="0" applyNumberFormat="1" applyFill="1" applyBorder="1"/>
    <xf numFmtId="2" fontId="0" fillId="14" borderId="34" xfId="0" applyNumberFormat="1" applyFill="1" applyBorder="1"/>
    <xf numFmtId="2" fontId="0" fillId="0" borderId="57" xfId="0" applyNumberFormat="1" applyBorder="1"/>
    <xf numFmtId="2" fontId="0" fillId="10" borderId="34" xfId="0" applyNumberFormat="1" applyFill="1" applyBorder="1"/>
    <xf numFmtId="2" fontId="0" fillId="0" borderId="59" xfId="0" applyNumberFormat="1" applyBorder="1"/>
    <xf numFmtId="2" fontId="0" fillId="0" borderId="60" xfId="0" applyNumberFormat="1" applyBorder="1"/>
    <xf numFmtId="2" fontId="0" fillId="14" borderId="59" xfId="0" applyNumberFormat="1" applyFill="1" applyBorder="1"/>
    <xf numFmtId="2" fontId="0" fillId="14" borderId="60" xfId="0" applyNumberFormat="1" applyFill="1" applyBorder="1"/>
    <xf numFmtId="2" fontId="0" fillId="0" borderId="61" xfId="0" applyNumberFormat="1" applyBorder="1"/>
    <xf numFmtId="2" fontId="0" fillId="0" borderId="51" xfId="0" applyNumberFormat="1" applyBorder="1"/>
    <xf numFmtId="2" fontId="0" fillId="0" borderId="52" xfId="0" applyNumberFormat="1" applyBorder="1"/>
    <xf numFmtId="2" fontId="0" fillId="14" borderId="51" xfId="0" applyNumberFormat="1" applyFill="1" applyBorder="1"/>
    <xf numFmtId="2" fontId="0" fillId="14" borderId="52" xfId="0" applyNumberFormat="1" applyFill="1" applyBorder="1"/>
    <xf numFmtId="2" fontId="0" fillId="15" borderId="51" xfId="0" applyNumberFormat="1" applyFill="1" applyBorder="1"/>
    <xf numFmtId="2" fontId="0" fillId="15" borderId="52" xfId="0" applyNumberFormat="1" applyFill="1" applyBorder="1"/>
    <xf numFmtId="2" fontId="0" fillId="0" borderId="53" xfId="0" applyNumberFormat="1" applyBorder="1"/>
    <xf numFmtId="2" fontId="0" fillId="10" borderId="48" xfId="0" applyNumberFormat="1" applyFill="1" applyBorder="1"/>
    <xf numFmtId="2" fontId="0" fillId="10" borderId="49" xfId="0" applyNumberFormat="1" applyFill="1" applyBorder="1"/>
    <xf numFmtId="2" fontId="0" fillId="10" borderId="42" xfId="0" applyNumberFormat="1" applyFill="1" applyBorder="1"/>
    <xf numFmtId="2" fontId="0" fillId="10" borderId="43" xfId="0" applyNumberFormat="1" applyFill="1" applyBorder="1"/>
    <xf numFmtId="2" fontId="0" fillId="13" borderId="51" xfId="0" applyNumberFormat="1" applyFill="1" applyBorder="1"/>
    <xf numFmtId="2" fontId="0" fillId="13" borderId="52" xfId="0" applyNumberFormat="1" applyFill="1" applyBorder="1"/>
    <xf numFmtId="2" fontId="0" fillId="12" borderId="48" xfId="0" applyNumberFormat="1" applyFill="1" applyBorder="1"/>
    <xf numFmtId="2" fontId="0" fillId="12" borderId="49" xfId="0" applyNumberFormat="1" applyFill="1" applyBorder="1"/>
    <xf numFmtId="2" fontId="0" fillId="12" borderId="42" xfId="0" applyNumberFormat="1" applyFill="1" applyBorder="1"/>
    <xf numFmtId="2" fontId="0" fillId="12" borderId="43" xfId="0" applyNumberFormat="1" applyFill="1" applyBorder="1"/>
    <xf numFmtId="2" fontId="0" fillId="8" borderId="30" xfId="0" applyNumberFormat="1" applyFill="1" applyBorder="1"/>
    <xf numFmtId="2" fontId="0" fillId="8" borderId="42" xfId="0" applyNumberFormat="1" applyFill="1" applyBorder="1"/>
    <xf numFmtId="2" fontId="0" fillId="8" borderId="44" xfId="0" applyNumberFormat="1" applyFill="1" applyBorder="1"/>
    <xf numFmtId="2" fontId="0" fillId="10" borderId="59" xfId="0" applyNumberFormat="1" applyFill="1" applyBorder="1"/>
    <xf numFmtId="2" fontId="0" fillId="9" borderId="30" xfId="0" quotePrefix="1" applyNumberFormat="1" applyFill="1" applyBorder="1"/>
    <xf numFmtId="0" fontId="0" fillId="0" borderId="114" xfId="0" applyBorder="1" applyAlignment="1">
      <alignment horizontal="center"/>
    </xf>
    <xf numFmtId="0" fontId="0" fillId="0" borderId="115" xfId="0" applyBorder="1" applyAlignment="1">
      <alignment horizontal="center"/>
    </xf>
  </cellXfs>
  <cellStyles count="4">
    <cellStyle name="Normale" xfId="0" builtinId="0"/>
    <cellStyle name="Percentuale" xfId="1" builtinId="5"/>
    <cellStyle name="Valuta" xfId="2" builtinId="4"/>
    <cellStyle name="Valuta 2" xfId="3" xr:uid="{BF5C06CA-4447-A342-900C-077BDFF6480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'Costi Ricavi'!$B$3</c:f>
              <c:strCache>
                <c:ptCount val="1"/>
                <c:pt idx="0">
                  <c:v>A - RICAVI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'Costi Ricavi'!$C$2:$G$2</c:f>
              <c:strCache>
                <c:ptCount val="5"/>
                <c:pt idx="0">
                  <c:v>Anno 1</c:v>
                </c:pt>
                <c:pt idx="1">
                  <c:v>Anno 2</c:v>
                </c:pt>
                <c:pt idx="2">
                  <c:v>Anno 3</c:v>
                </c:pt>
                <c:pt idx="3">
                  <c:v>Anno 4</c:v>
                </c:pt>
                <c:pt idx="4">
                  <c:v>Anno 5</c:v>
                </c:pt>
              </c:strCache>
            </c:strRef>
          </c:cat>
          <c:val>
            <c:numRef>
              <c:f>'Costi Ricavi'!$C$3:$G$3</c:f>
              <c:numCache>
                <c:formatCode>_("€"* #,##0.00_);_("€"* \(#,##0.00\);_("€"* "-"??_);_(@_)</c:formatCode>
                <c:ptCount val="5"/>
                <c:pt idx="0">
                  <c:v>400000</c:v>
                </c:pt>
                <c:pt idx="1">
                  <c:v>630000</c:v>
                </c:pt>
                <c:pt idx="2">
                  <c:v>750000</c:v>
                </c:pt>
                <c:pt idx="3">
                  <c:v>960000</c:v>
                </c:pt>
                <c:pt idx="4">
                  <c:v>1500000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46-FA42-AC54-0A78EBBD8756}"/>
            </c:ext>
          </c:extLst>
        </c:ser>
        <c:ser>
          <c:idx val="1"/>
          <c:order val="1"/>
          <c:tx>
            <c:strRef>
              <c:f>'Costi Ricavi'!$B$4</c:f>
              <c:strCache>
                <c:ptCount val="1"/>
                <c:pt idx="0">
                  <c:v>B - COSTI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'Costi Ricavi'!$C$2:$G$2</c:f>
              <c:strCache>
                <c:ptCount val="5"/>
                <c:pt idx="0">
                  <c:v>Anno 1</c:v>
                </c:pt>
                <c:pt idx="1">
                  <c:v>Anno 2</c:v>
                </c:pt>
                <c:pt idx="2">
                  <c:v>Anno 3</c:v>
                </c:pt>
                <c:pt idx="3">
                  <c:v>Anno 4</c:v>
                </c:pt>
                <c:pt idx="4">
                  <c:v>Anno 5</c:v>
                </c:pt>
              </c:strCache>
            </c:strRef>
          </c:cat>
          <c:val>
            <c:numRef>
              <c:f>'Costi Ricavi'!$C$4:$G$4</c:f>
              <c:numCache>
                <c:formatCode>_("€"* #,##0.00_);_("€"* \(#,##0.00\);_("€"* "-"??_);_(@_)</c:formatCode>
                <c:ptCount val="5"/>
                <c:pt idx="0">
                  <c:v>500734.03263466666</c:v>
                </c:pt>
                <c:pt idx="1">
                  <c:v>497734.03263466666</c:v>
                </c:pt>
                <c:pt idx="2">
                  <c:v>497734.03263466671</c:v>
                </c:pt>
                <c:pt idx="3">
                  <c:v>495734.03263466671</c:v>
                </c:pt>
                <c:pt idx="4">
                  <c:v>495734.03263466671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46-FA42-AC54-0A78EBBD8756}"/>
            </c:ext>
          </c:extLst>
        </c:ser>
        <c:ser>
          <c:idx val="2"/>
          <c:order val="2"/>
          <c:tx>
            <c:strRef>
              <c:f>'Costi Ricavi'!$B$5</c:f>
              <c:strCache>
                <c:ptCount val="1"/>
                <c:pt idx="0">
                  <c:v>C - ONERI FINANZIARI PIATT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'Costi Ricavi'!$C$2:$G$2</c:f>
              <c:strCache>
                <c:ptCount val="5"/>
                <c:pt idx="0">
                  <c:v>Anno 1</c:v>
                </c:pt>
                <c:pt idx="1">
                  <c:v>Anno 2</c:v>
                </c:pt>
                <c:pt idx="2">
                  <c:v>Anno 3</c:v>
                </c:pt>
                <c:pt idx="3">
                  <c:v>Anno 4</c:v>
                </c:pt>
                <c:pt idx="4">
                  <c:v>Anno 5</c:v>
                </c:pt>
              </c:strCache>
            </c:strRef>
          </c:cat>
          <c:val>
            <c:numRef>
              <c:f>'Costi Ricavi'!$C$5:$G$5</c:f>
              <c:numCache>
                <c:formatCode>_("€"* #,##0.00_);_("€"* \(#,##0.00\);_("€"* "-"??_);_(@_)</c:formatCode>
                <c:ptCount val="5"/>
                <c:pt idx="0">
                  <c:v>126305.048304</c:v>
                </c:pt>
                <c:pt idx="1">
                  <c:v>109390.80720703999</c:v>
                </c:pt>
                <c:pt idx="2">
                  <c:v>92836.566110079992</c:v>
                </c:pt>
                <c:pt idx="3">
                  <c:v>76042.325013119989</c:v>
                </c:pt>
                <c:pt idx="4">
                  <c:v>59488.083916159994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46-FA42-AC54-0A78EBBD8756}"/>
            </c:ext>
          </c:extLst>
        </c:ser>
        <c:ser>
          <c:idx val="3"/>
          <c:order val="3"/>
          <c:tx>
            <c:strRef>
              <c:f>'Costi Ricavi'!$B$6</c:f>
              <c:strCache>
                <c:ptCount val="1"/>
                <c:pt idx="0">
                  <c:v>BC - COSTI TOTALI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'Costi Ricavi'!$C$2:$G$2</c:f>
              <c:strCache>
                <c:ptCount val="5"/>
                <c:pt idx="0">
                  <c:v>Anno 1</c:v>
                </c:pt>
                <c:pt idx="1">
                  <c:v>Anno 2</c:v>
                </c:pt>
                <c:pt idx="2">
                  <c:v>Anno 3</c:v>
                </c:pt>
                <c:pt idx="3">
                  <c:v>Anno 4</c:v>
                </c:pt>
                <c:pt idx="4">
                  <c:v>Anno 5</c:v>
                </c:pt>
              </c:strCache>
            </c:strRef>
          </c:cat>
          <c:val>
            <c:numRef>
              <c:f>'Costi Ricavi'!$C$6:$G$6</c:f>
              <c:numCache>
                <c:formatCode>_("€"* #,##0.00_);_("€"* \(#,##0.00\);_("€"* "-"??_);_(@_)</c:formatCode>
                <c:ptCount val="5"/>
                <c:pt idx="0">
                  <c:v>627039.08093866659</c:v>
                </c:pt>
                <c:pt idx="1">
                  <c:v>607124.83984170668</c:v>
                </c:pt>
                <c:pt idx="2">
                  <c:v>590570.59874474676</c:v>
                </c:pt>
                <c:pt idx="3">
                  <c:v>571776.35764778673</c:v>
                </c:pt>
                <c:pt idx="4">
                  <c:v>555222.1165508267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446-FA42-AC54-0A78EBBD8756}"/>
            </c:ext>
          </c:extLst>
        </c:ser>
        <c:ser>
          <c:idx val="4"/>
          <c:order val="4"/>
          <c:tx>
            <c:strRef>
              <c:f>'Costi Ricavi'!$B$7</c:f>
              <c:strCache>
                <c:ptCount val="1"/>
                <c:pt idx="0">
                  <c:v>R1 - Risultato Lordo A-BC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'Costi Ricavi'!$C$2:$G$2</c:f>
              <c:strCache>
                <c:ptCount val="5"/>
                <c:pt idx="0">
                  <c:v>Anno 1</c:v>
                </c:pt>
                <c:pt idx="1">
                  <c:v>Anno 2</c:v>
                </c:pt>
                <c:pt idx="2">
                  <c:v>Anno 3</c:v>
                </c:pt>
                <c:pt idx="3">
                  <c:v>Anno 4</c:v>
                </c:pt>
                <c:pt idx="4">
                  <c:v>Anno 5</c:v>
                </c:pt>
              </c:strCache>
            </c:strRef>
          </c:cat>
          <c:val>
            <c:numRef>
              <c:f>'Costi Ricavi'!$C$7:$G$7</c:f>
              <c:numCache>
                <c:formatCode>_("€"* #,##0.00_);_("€"* \(#,##0.00\);_("€"* "-"??_);_(@_)</c:formatCode>
                <c:ptCount val="5"/>
                <c:pt idx="0">
                  <c:v>-227039.08093866659</c:v>
                </c:pt>
                <c:pt idx="1">
                  <c:v>22875.160158293322</c:v>
                </c:pt>
                <c:pt idx="2">
                  <c:v>159429.40125525324</c:v>
                </c:pt>
                <c:pt idx="3">
                  <c:v>388223.64235221327</c:v>
                </c:pt>
                <c:pt idx="4">
                  <c:v>944777.8834491733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446-FA42-AC54-0A78EBBD8756}"/>
            </c:ext>
          </c:extLst>
        </c:ser>
        <c:ser>
          <c:idx val="5"/>
          <c:order val="5"/>
          <c:tx>
            <c:strRef>
              <c:f>'Costi Ricavi'!$B$8</c:f>
              <c:strCache>
                <c:ptCount val="1"/>
                <c:pt idx="0">
                  <c:v>% Risultato/Ricavi (R1/A)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'Costi Ricavi'!$C$2:$G$2</c:f>
              <c:strCache>
                <c:ptCount val="5"/>
                <c:pt idx="0">
                  <c:v>Anno 1</c:v>
                </c:pt>
                <c:pt idx="1">
                  <c:v>Anno 2</c:v>
                </c:pt>
                <c:pt idx="2">
                  <c:v>Anno 3</c:v>
                </c:pt>
                <c:pt idx="3">
                  <c:v>Anno 4</c:v>
                </c:pt>
                <c:pt idx="4">
                  <c:v>Anno 5</c:v>
                </c:pt>
              </c:strCache>
            </c:strRef>
          </c:cat>
          <c:val>
            <c:numRef>
              <c:f>'Costi Ricavi'!$C$8:$G$8</c:f>
              <c:numCache>
                <c:formatCode>0.00%</c:formatCode>
                <c:ptCount val="5"/>
                <c:pt idx="0">
                  <c:v>-0.56759770234666651</c:v>
                </c:pt>
                <c:pt idx="1">
                  <c:v>3.6309778029037017E-2</c:v>
                </c:pt>
                <c:pt idx="2">
                  <c:v>0.21257253500700432</c:v>
                </c:pt>
                <c:pt idx="3">
                  <c:v>0.40439962745022218</c:v>
                </c:pt>
                <c:pt idx="4">
                  <c:v>0.62985192229944886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446-FA42-AC54-0A78EBBD8756}"/>
            </c:ext>
          </c:extLst>
        </c:ser>
        <c:ser>
          <c:idx val="6"/>
          <c:order val="6"/>
          <c:tx>
            <c:strRef>
              <c:f>'Costi Ricavi'!$B$9</c:f>
              <c:strCache>
                <c:ptCount val="1"/>
                <c:pt idx="0">
                  <c:v>T1 - Tasse IRES 24% di R1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'Costi Ricavi'!$C$2:$G$2</c:f>
              <c:strCache>
                <c:ptCount val="5"/>
                <c:pt idx="0">
                  <c:v>Anno 1</c:v>
                </c:pt>
                <c:pt idx="1">
                  <c:v>Anno 2</c:v>
                </c:pt>
                <c:pt idx="2">
                  <c:v>Anno 3</c:v>
                </c:pt>
                <c:pt idx="3">
                  <c:v>Anno 4</c:v>
                </c:pt>
                <c:pt idx="4">
                  <c:v>Anno 5</c:v>
                </c:pt>
              </c:strCache>
            </c:strRef>
          </c:cat>
          <c:val>
            <c:numRef>
              <c:f>'Costi Ricavi'!$C$9:$G$9</c:f>
              <c:numCache>
                <c:formatCode>_("€"* #,##0.00_);_("€"* \(#,##0.00\);_("€"* "-"??_);_(@_)</c:formatCode>
                <c:ptCount val="5"/>
                <c:pt idx="0">
                  <c:v>0</c:v>
                </c:pt>
                <c:pt idx="1">
                  <c:v>5490.0384379903971</c:v>
                </c:pt>
                <c:pt idx="2">
                  <c:v>38263.056301260774</c:v>
                </c:pt>
                <c:pt idx="3">
                  <c:v>93173.674164531185</c:v>
                </c:pt>
                <c:pt idx="4">
                  <c:v>226746.69202780159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446-FA42-AC54-0A78EBBD8756}"/>
            </c:ext>
          </c:extLst>
        </c:ser>
        <c:ser>
          <c:idx val="7"/>
          <c:order val="7"/>
          <c:tx>
            <c:strRef>
              <c:f>'Costi Ricavi'!$B$10</c:f>
              <c:strCache>
                <c:ptCount val="1"/>
                <c:pt idx="0">
                  <c:v>IR: Imponibile IRAP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'Costi Ricavi'!$C$2:$G$2</c:f>
              <c:strCache>
                <c:ptCount val="5"/>
                <c:pt idx="0">
                  <c:v>Anno 1</c:v>
                </c:pt>
                <c:pt idx="1">
                  <c:v>Anno 2</c:v>
                </c:pt>
                <c:pt idx="2">
                  <c:v>Anno 3</c:v>
                </c:pt>
                <c:pt idx="3">
                  <c:v>Anno 4</c:v>
                </c:pt>
                <c:pt idx="4">
                  <c:v>Anno 5</c:v>
                </c:pt>
              </c:strCache>
            </c:strRef>
          </c:cat>
          <c:val>
            <c:numRef>
              <c:f>'Costi Ricavi'!$C$10:$G$10</c:f>
              <c:numCache>
                <c:formatCode>_("€"* #,##0.00_);_("€"* \(#,##0.00\);_("€"* "-"??_);_(@_)</c:formatCode>
                <c:ptCount val="5"/>
                <c:pt idx="0">
                  <c:v>48129.271972444491</c:v>
                </c:pt>
                <c:pt idx="1">
                  <c:v>298043.51306940441</c:v>
                </c:pt>
                <c:pt idx="2">
                  <c:v>434597.75416636438</c:v>
                </c:pt>
                <c:pt idx="3">
                  <c:v>663391.99526332435</c:v>
                </c:pt>
                <c:pt idx="4">
                  <c:v>1219946.2363602845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446-FA42-AC54-0A78EBBD8756}"/>
            </c:ext>
          </c:extLst>
        </c:ser>
        <c:ser>
          <c:idx val="8"/>
          <c:order val="8"/>
          <c:tx>
            <c:strRef>
              <c:f>'Costi Ricavi'!$B$11</c:f>
              <c:strCache>
                <c:ptCount val="1"/>
                <c:pt idx="0">
                  <c:v>T2 - Tasse IRAP 4,82% di IR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'Costi Ricavi'!$C$2:$G$2</c:f>
              <c:strCache>
                <c:ptCount val="5"/>
                <c:pt idx="0">
                  <c:v>Anno 1</c:v>
                </c:pt>
                <c:pt idx="1">
                  <c:v>Anno 2</c:v>
                </c:pt>
                <c:pt idx="2">
                  <c:v>Anno 3</c:v>
                </c:pt>
                <c:pt idx="3">
                  <c:v>Anno 4</c:v>
                </c:pt>
                <c:pt idx="4">
                  <c:v>Anno 5</c:v>
                </c:pt>
              </c:strCache>
            </c:strRef>
          </c:cat>
          <c:val>
            <c:numRef>
              <c:f>'Costi Ricavi'!$C$11:$G$11</c:f>
              <c:numCache>
                <c:formatCode>_("€"* #,##0.00_);_("€"* \(#,##0.00\);_("€"* "-"??_);_(@_)</c:formatCode>
                <c:ptCount val="5"/>
                <c:pt idx="0">
                  <c:v>2319.8309090718244</c:v>
                </c:pt>
                <c:pt idx="1">
                  <c:v>14365.697329945293</c:v>
                </c:pt>
                <c:pt idx="2">
                  <c:v>20947.611750818764</c:v>
                </c:pt>
                <c:pt idx="3">
                  <c:v>31975.494171692233</c:v>
                </c:pt>
                <c:pt idx="4">
                  <c:v>58801.408592565713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446-FA42-AC54-0A78EBBD8756}"/>
            </c:ext>
          </c:extLst>
        </c:ser>
        <c:ser>
          <c:idx val="9"/>
          <c:order val="9"/>
          <c:tx>
            <c:strRef>
              <c:f>'Costi Ricavi'!$B$12</c:f>
              <c:strCache>
                <c:ptCount val="1"/>
                <c:pt idx="0">
                  <c:v>R2 - Risultato Netto R1-T1-T2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'Costi Ricavi'!$C$2:$G$2</c:f>
              <c:strCache>
                <c:ptCount val="5"/>
                <c:pt idx="0">
                  <c:v>Anno 1</c:v>
                </c:pt>
                <c:pt idx="1">
                  <c:v>Anno 2</c:v>
                </c:pt>
                <c:pt idx="2">
                  <c:v>Anno 3</c:v>
                </c:pt>
                <c:pt idx="3">
                  <c:v>Anno 4</c:v>
                </c:pt>
                <c:pt idx="4">
                  <c:v>Anno 5</c:v>
                </c:pt>
              </c:strCache>
            </c:strRef>
          </c:cat>
          <c:val>
            <c:numRef>
              <c:f>'Costi Ricavi'!$C$12:$G$12</c:f>
              <c:numCache>
                <c:formatCode>_("€"* #,##0.00_);_("€"* \(#,##0.00\);_("€"* "-"??_);_(@_)</c:formatCode>
                <c:ptCount val="5"/>
                <c:pt idx="0">
                  <c:v>-229358.9118477384</c:v>
                </c:pt>
                <c:pt idx="1">
                  <c:v>3019.4243903576298</c:v>
                </c:pt>
                <c:pt idx="2">
                  <c:v>100218.7332031737</c:v>
                </c:pt>
                <c:pt idx="3">
                  <c:v>263074.47401598986</c:v>
                </c:pt>
                <c:pt idx="4">
                  <c:v>659229.78282880597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446-FA42-AC54-0A78EBBD8756}"/>
            </c:ext>
          </c:extLst>
        </c:ser>
        <c:ser>
          <c:idx val="10"/>
          <c:order val="10"/>
          <c:tx>
            <c:strRef>
              <c:f>'Costi Ricavi'!$B$13</c:f>
              <c:strCache>
                <c:ptCount val="1"/>
                <c:pt idx="0">
                  <c:v>% Risultato/Ricavi (R2/A)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'Costi Ricavi'!$C$2:$G$2</c:f>
              <c:strCache>
                <c:ptCount val="5"/>
                <c:pt idx="0">
                  <c:v>Anno 1</c:v>
                </c:pt>
                <c:pt idx="1">
                  <c:v>Anno 2</c:v>
                </c:pt>
                <c:pt idx="2">
                  <c:v>Anno 3</c:v>
                </c:pt>
                <c:pt idx="3">
                  <c:v>Anno 4</c:v>
                </c:pt>
                <c:pt idx="4">
                  <c:v>Anno 5</c:v>
                </c:pt>
              </c:strCache>
            </c:strRef>
          </c:cat>
          <c:val>
            <c:numRef>
              <c:f>'Costi Ricavi'!$C$13:$G$13</c:f>
              <c:numCache>
                <c:formatCode>0.00%</c:formatCode>
                <c:ptCount val="5"/>
                <c:pt idx="0">
                  <c:v>-0.57339727961934606</c:v>
                </c:pt>
                <c:pt idx="1">
                  <c:v>4.792737127551793E-3</c:v>
                </c:pt>
                <c:pt idx="2">
                  <c:v>0.13362497760423162</c:v>
                </c:pt>
                <c:pt idx="3">
                  <c:v>0.27403591043332276</c:v>
                </c:pt>
                <c:pt idx="4">
                  <c:v>0.43948652188587062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446-FA42-AC54-0A78EBBD8756}"/>
            </c:ext>
          </c:extLst>
        </c:ser>
        <c:ser>
          <c:idx val="11"/>
          <c:order val="11"/>
          <c:tx>
            <c:strRef>
              <c:f>'Costi Ricavi'!$B$14</c:f>
              <c:strCache>
                <c:ptCount val="1"/>
                <c:pt idx="0">
                  <c:v>RC - Risultato Netto Cumulato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'Costi Ricavi'!$C$2:$G$2</c:f>
              <c:strCache>
                <c:ptCount val="5"/>
                <c:pt idx="0">
                  <c:v>Anno 1</c:v>
                </c:pt>
                <c:pt idx="1">
                  <c:v>Anno 2</c:v>
                </c:pt>
                <c:pt idx="2">
                  <c:v>Anno 3</c:v>
                </c:pt>
                <c:pt idx="3">
                  <c:v>Anno 4</c:v>
                </c:pt>
                <c:pt idx="4">
                  <c:v>Anno 5</c:v>
                </c:pt>
              </c:strCache>
            </c:strRef>
          </c:cat>
          <c:val>
            <c:numRef>
              <c:f>'Costi Ricavi'!$C$14:$G$14</c:f>
              <c:numCache>
                <c:formatCode>_("€"* #,##0.00_);_("€"* \(#,##0.00\);_("€"* "-"??_);_(@_)</c:formatCode>
                <c:ptCount val="5"/>
                <c:pt idx="0">
                  <c:v>-229358.9118477384</c:v>
                </c:pt>
                <c:pt idx="1">
                  <c:v>-226339.48745738078</c:v>
                </c:pt>
                <c:pt idx="2">
                  <c:v>-126120.75425420707</c:v>
                </c:pt>
                <c:pt idx="3">
                  <c:v>136953.71976178279</c:v>
                </c:pt>
                <c:pt idx="4">
                  <c:v>796183.50259058876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2446-FA42-AC54-0A78EBBD87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2342015"/>
        <c:axId val="1690700415"/>
      </c:lineChart>
      <c:catAx>
        <c:axId val="1942342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690700415"/>
        <c:crosses val="autoZero"/>
        <c:auto val="1"/>
        <c:lblAlgn val="ctr"/>
        <c:lblOffset val="100"/>
        <c:noMultiLvlLbl val="0"/>
      </c:catAx>
      <c:valAx>
        <c:axId val="1690700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942342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1343269</xdr:colOff>
      <xdr:row>15</xdr:row>
      <xdr:rowOff>49822</xdr:rowOff>
    </xdr:from>
    <xdr:to>
      <xdr:col>7</xdr:col>
      <xdr:colOff>644769</xdr:colOff>
      <xdr:row>32</xdr:row>
      <xdr:rowOff>195383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E4FC146D-86F5-643D-5752-2E5BBC4DED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273C4-E396-4D44-B6B8-41AF4BCDDAEB}">
  <dimension ref="B2:H5"/>
  <sheetViews>
    <sheetView zoomScale="130" zoomScaleNormal="130" workbookViewId="0">
      <selection activeCell="E12" sqref="E12"/>
    </sheetView>
  </sheetViews>
  <sheetFormatPr defaultColWidth="10.83203125" defaultRowHeight="15" x14ac:dyDescent="0.3"/>
  <cols>
    <col min="1" max="1" width="10.83203125" style="2"/>
    <col min="2" max="2" width="17" style="2" customWidth="1"/>
    <col min="3" max="16384" width="10.83203125" style="2"/>
  </cols>
  <sheetData>
    <row r="2" spans="2:8" ht="15.5" thickBot="1" x14ac:dyDescent="0.35"/>
    <row r="3" spans="2:8" s="6" customFormat="1" ht="15.5" thickBot="1" x14ac:dyDescent="0.35">
      <c r="B3" s="3"/>
      <c r="C3" s="397">
        <v>2026</v>
      </c>
      <c r="D3" s="4">
        <v>2027</v>
      </c>
      <c r="E3" s="4">
        <v>2028</v>
      </c>
      <c r="F3" s="4">
        <v>2029</v>
      </c>
      <c r="G3" s="4">
        <v>2030</v>
      </c>
      <c r="H3" s="5">
        <v>2031</v>
      </c>
    </row>
    <row r="4" spans="2:8" x14ac:dyDescent="0.3">
      <c r="B4" s="7" t="s">
        <v>0</v>
      </c>
      <c r="C4" s="398"/>
      <c r="D4" s="8"/>
      <c r="E4" s="8"/>
      <c r="F4" s="8"/>
      <c r="G4" s="8"/>
      <c r="H4" s="9"/>
    </row>
    <row r="5" spans="2:8" ht="15.5" thickBot="1" x14ac:dyDescent="0.35">
      <c r="B5" s="10" t="s">
        <v>1</v>
      </c>
      <c r="C5" s="399"/>
      <c r="D5" s="11"/>
      <c r="E5" s="11"/>
      <c r="F5" s="11"/>
      <c r="G5" s="11"/>
      <c r="H5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1FA23-24C1-0047-89C5-A0FC0CE2E150}">
  <dimension ref="A3:AF194"/>
  <sheetViews>
    <sheetView tabSelected="1" zoomScale="80" zoomScaleNormal="80" workbookViewId="0">
      <selection activeCell="AB67" sqref="AB67"/>
    </sheetView>
  </sheetViews>
  <sheetFormatPr defaultColWidth="10.6640625" defaultRowHeight="15.5" x14ac:dyDescent="0.35"/>
  <cols>
    <col min="2" max="2" width="10.83203125" style="345"/>
    <col min="3" max="3" width="44.1640625" customWidth="1"/>
    <col min="4" max="4" width="4.58203125" bestFit="1" customWidth="1"/>
    <col min="5" max="5" width="5" bestFit="1" customWidth="1"/>
    <col min="6" max="6" width="4.83203125" customWidth="1"/>
    <col min="7" max="7" width="4.6640625" customWidth="1"/>
    <col min="8" max="8" width="5" bestFit="1" customWidth="1"/>
    <col min="9" max="9" width="4.83203125" customWidth="1"/>
    <col min="10" max="10" width="5" bestFit="1" customWidth="1"/>
    <col min="11" max="11" width="5.5" customWidth="1"/>
    <col min="12" max="12" width="5.1640625" customWidth="1"/>
    <col min="13" max="27" width="5" bestFit="1" customWidth="1"/>
    <col min="28" max="28" width="11.33203125" style="153" customWidth="1"/>
  </cols>
  <sheetData>
    <row r="3" spans="3:27" ht="16" thickBot="1" x14ac:dyDescent="0.4"/>
    <row r="4" spans="3:27" ht="16.5" thickTop="1" thickBot="1" x14ac:dyDescent="0.4">
      <c r="C4" s="52" t="s">
        <v>63</v>
      </c>
      <c r="D4" s="402">
        <v>1</v>
      </c>
      <c r="E4" s="402"/>
      <c r="F4" s="402">
        <v>2</v>
      </c>
      <c r="G4" s="402"/>
      <c r="H4" s="402">
        <v>3</v>
      </c>
      <c r="I4" s="402"/>
      <c r="J4" s="402">
        <v>4</v>
      </c>
      <c r="K4" s="402"/>
      <c r="L4" s="402">
        <v>5</v>
      </c>
      <c r="M4" s="402"/>
      <c r="N4" s="402">
        <v>6</v>
      </c>
      <c r="O4" s="402"/>
      <c r="P4" s="402">
        <v>7</v>
      </c>
      <c r="Q4" s="402"/>
      <c r="R4" s="402">
        <v>8</v>
      </c>
      <c r="S4" s="402"/>
      <c r="T4" s="402">
        <v>9</v>
      </c>
      <c r="U4" s="402"/>
      <c r="V4" s="402">
        <v>10</v>
      </c>
      <c r="W4" s="402"/>
      <c r="X4" s="402">
        <v>11</v>
      </c>
      <c r="Y4" s="402"/>
      <c r="Z4" s="402">
        <v>12</v>
      </c>
      <c r="AA4" s="404"/>
    </row>
    <row r="5" spans="3:27" ht="16.5" thickTop="1" thickBot="1" x14ac:dyDescent="0.4">
      <c r="C5" s="38" t="s">
        <v>18</v>
      </c>
      <c r="D5" s="39"/>
      <c r="E5" s="40"/>
      <c r="F5" s="429"/>
      <c r="G5" s="430"/>
      <c r="H5" s="41"/>
      <c r="I5" s="42"/>
      <c r="J5" s="41"/>
      <c r="K5" s="42"/>
      <c r="L5" s="41"/>
      <c r="M5" s="42"/>
      <c r="N5" s="41"/>
      <c r="O5" s="42"/>
      <c r="P5" s="41"/>
      <c r="Q5" s="42"/>
      <c r="R5" s="41"/>
      <c r="S5" s="42"/>
      <c r="T5" s="41"/>
      <c r="U5" s="42"/>
      <c r="V5" s="41"/>
      <c r="W5" s="42"/>
      <c r="X5" s="41"/>
      <c r="Y5" s="42"/>
      <c r="Z5" s="41"/>
      <c r="AA5" s="43"/>
    </row>
    <row r="6" spans="3:27" ht="16" thickBot="1" x14ac:dyDescent="0.4">
      <c r="C6" s="44" t="s">
        <v>19</v>
      </c>
      <c r="D6" s="32"/>
      <c r="E6" s="31"/>
      <c r="F6" s="30"/>
      <c r="G6" s="31"/>
      <c r="H6" s="30"/>
      <c r="I6" s="31"/>
      <c r="J6" s="30"/>
      <c r="K6" s="31"/>
      <c r="L6" s="30"/>
      <c r="M6" s="31"/>
      <c r="N6" s="30"/>
      <c r="O6" s="31"/>
      <c r="P6" s="30"/>
      <c r="Q6" s="31"/>
      <c r="R6" s="30"/>
      <c r="S6" s="31"/>
      <c r="T6" s="30"/>
      <c r="U6" s="31"/>
      <c r="V6" s="30"/>
      <c r="W6" s="31"/>
      <c r="X6" s="30"/>
      <c r="Y6" s="31"/>
      <c r="Z6" s="30"/>
      <c r="AA6" s="45"/>
    </row>
    <row r="7" spans="3:27" ht="16" thickBot="1" x14ac:dyDescent="0.4">
      <c r="C7" s="46" t="s">
        <v>20</v>
      </c>
      <c r="D7" s="47"/>
      <c r="E7" s="50"/>
      <c r="F7" s="445"/>
      <c r="G7" s="446"/>
      <c r="H7" s="47"/>
      <c r="I7" s="48"/>
      <c r="J7" s="47"/>
      <c r="K7" s="48"/>
      <c r="L7" s="47"/>
      <c r="M7" s="48"/>
      <c r="N7" s="47"/>
      <c r="O7" s="48"/>
      <c r="P7" s="47"/>
      <c r="Q7" s="48"/>
      <c r="R7" s="47"/>
      <c r="S7" s="48"/>
      <c r="T7" s="47"/>
      <c r="U7" s="48"/>
      <c r="V7" s="47"/>
      <c r="W7" s="48"/>
      <c r="X7" s="47"/>
      <c r="Y7" s="48"/>
      <c r="Z7" s="47"/>
      <c r="AA7" s="51"/>
    </row>
    <row r="8" spans="3:27" ht="16.5" thickTop="1" thickBot="1" x14ac:dyDescent="0.4">
      <c r="C8" s="53" t="s">
        <v>141</v>
      </c>
      <c r="D8" s="41"/>
      <c r="E8" s="42"/>
      <c r="F8" s="54"/>
      <c r="G8" s="55"/>
      <c r="H8" s="54"/>
      <c r="I8" s="55"/>
      <c r="J8" s="54"/>
      <c r="K8" s="55"/>
      <c r="L8" s="54"/>
      <c r="M8" s="55"/>
      <c r="N8" s="54"/>
      <c r="O8" s="55"/>
      <c r="P8" s="54"/>
      <c r="Q8" s="55"/>
      <c r="R8" s="54"/>
      <c r="S8" s="55"/>
      <c r="T8" s="54"/>
      <c r="U8" s="55"/>
      <c r="V8" s="54"/>
      <c r="W8" s="55"/>
      <c r="X8" s="41"/>
      <c r="Y8" s="42"/>
      <c r="Z8" s="41"/>
      <c r="AA8" s="43"/>
    </row>
    <row r="9" spans="3:27" ht="16" thickBot="1" x14ac:dyDescent="0.4">
      <c r="C9" s="56" t="s">
        <v>142</v>
      </c>
      <c r="D9" s="30"/>
      <c r="E9" s="31"/>
      <c r="F9" s="34"/>
      <c r="G9" s="35"/>
      <c r="H9" s="431"/>
      <c r="I9" s="432"/>
      <c r="J9" s="431"/>
      <c r="K9" s="432"/>
      <c r="L9" s="431"/>
      <c r="M9" s="432"/>
      <c r="N9" s="431"/>
      <c r="O9" s="432"/>
      <c r="P9" s="431"/>
      <c r="Q9" s="432"/>
      <c r="R9" s="431"/>
      <c r="S9" s="432"/>
      <c r="T9" s="431"/>
      <c r="U9" s="432"/>
      <c r="V9" s="431"/>
      <c r="W9" s="432"/>
      <c r="X9" s="30"/>
      <c r="Y9" s="31"/>
      <c r="Z9" s="30"/>
      <c r="AA9" s="45"/>
    </row>
    <row r="10" spans="3:27" ht="16" thickBot="1" x14ac:dyDescent="0.4">
      <c r="C10" s="56" t="s">
        <v>143</v>
      </c>
      <c r="D10" s="30"/>
      <c r="E10" s="31"/>
      <c r="F10" s="30"/>
      <c r="G10" s="31"/>
      <c r="H10" s="34"/>
      <c r="I10" s="35"/>
      <c r="J10" s="34"/>
      <c r="K10" s="35"/>
      <c r="L10" s="431"/>
      <c r="M10" s="432"/>
      <c r="N10" s="431"/>
      <c r="O10" s="432"/>
      <c r="P10" s="431"/>
      <c r="Q10" s="432"/>
      <c r="R10" s="431"/>
      <c r="S10" s="432"/>
      <c r="T10" s="431"/>
      <c r="U10" s="432"/>
      <c r="V10" s="431"/>
      <c r="W10" s="432"/>
      <c r="X10" s="30"/>
      <c r="Y10" s="31"/>
      <c r="Z10" s="30"/>
      <c r="AA10" s="45"/>
    </row>
    <row r="11" spans="3:27" ht="16" thickBot="1" x14ac:dyDescent="0.4">
      <c r="C11" s="56" t="s">
        <v>144</v>
      </c>
      <c r="D11" s="30"/>
      <c r="E11" s="31"/>
      <c r="F11" s="30"/>
      <c r="G11" s="31"/>
      <c r="H11" s="431"/>
      <c r="I11" s="432"/>
      <c r="J11" s="431"/>
      <c r="K11" s="432"/>
      <c r="L11" s="34"/>
      <c r="M11" s="35"/>
      <c r="N11" s="34"/>
      <c r="O11" s="35"/>
      <c r="P11" s="34"/>
      <c r="Q11" s="35"/>
      <c r="R11" s="431"/>
      <c r="S11" s="432"/>
      <c r="T11" s="431"/>
      <c r="U11" s="432"/>
      <c r="V11" s="431"/>
      <c r="W11" s="432"/>
      <c r="X11" s="30"/>
      <c r="Y11" s="31"/>
      <c r="Z11" s="30"/>
      <c r="AA11" s="45"/>
    </row>
    <row r="12" spans="3:27" ht="16" thickBot="1" x14ac:dyDescent="0.4">
      <c r="C12" s="423" t="s">
        <v>145</v>
      </c>
      <c r="D12" s="67"/>
      <c r="E12" s="68"/>
      <c r="F12" s="67"/>
      <c r="G12" s="68"/>
      <c r="H12" s="443"/>
      <c r="I12" s="444"/>
      <c r="J12" s="443"/>
      <c r="K12" s="444"/>
      <c r="L12" s="443"/>
      <c r="M12" s="444"/>
      <c r="N12" s="443"/>
      <c r="O12" s="444"/>
      <c r="P12" s="443"/>
      <c r="Q12" s="444"/>
      <c r="R12" s="424"/>
      <c r="S12" s="425"/>
      <c r="T12" s="443"/>
      <c r="U12" s="444"/>
      <c r="V12" s="443"/>
      <c r="W12" s="444"/>
      <c r="X12" s="67"/>
      <c r="Y12" s="68"/>
      <c r="Z12" s="67"/>
      <c r="AA12" s="76"/>
    </row>
    <row r="13" spans="3:27" ht="16" thickBot="1" x14ac:dyDescent="0.4">
      <c r="C13" s="423" t="s">
        <v>146</v>
      </c>
      <c r="D13" s="67"/>
      <c r="E13" s="68"/>
      <c r="F13" s="67"/>
      <c r="G13" s="68"/>
      <c r="H13" s="443"/>
      <c r="I13" s="444"/>
      <c r="J13" s="443"/>
      <c r="K13" s="444"/>
      <c r="L13" s="443"/>
      <c r="M13" s="444"/>
      <c r="N13" s="443"/>
      <c r="O13" s="444"/>
      <c r="P13" s="443"/>
      <c r="Q13" s="444"/>
      <c r="R13" s="443"/>
      <c r="S13" s="444"/>
      <c r="T13" s="424"/>
      <c r="U13" s="425"/>
      <c r="V13" s="443"/>
      <c r="W13" s="444"/>
      <c r="X13" s="67"/>
      <c r="Y13" s="68"/>
      <c r="Z13" s="67"/>
      <c r="AA13" s="76"/>
    </row>
    <row r="14" spans="3:27" ht="16" thickBot="1" x14ac:dyDescent="0.4">
      <c r="C14" s="57" t="s">
        <v>147</v>
      </c>
      <c r="D14" s="47"/>
      <c r="E14" s="48"/>
      <c r="F14" s="47"/>
      <c r="G14" s="48"/>
      <c r="H14" s="445"/>
      <c r="I14" s="446"/>
      <c r="J14" s="445"/>
      <c r="K14" s="446"/>
      <c r="L14" s="445"/>
      <c r="M14" s="446"/>
      <c r="N14" s="445"/>
      <c r="O14" s="446"/>
      <c r="P14" s="445"/>
      <c r="Q14" s="446"/>
      <c r="R14" s="445"/>
      <c r="S14" s="446"/>
      <c r="T14" s="445"/>
      <c r="U14" s="446"/>
      <c r="V14" s="58"/>
      <c r="W14" s="59"/>
      <c r="X14" s="47"/>
      <c r="Y14" s="48"/>
      <c r="Z14" s="47"/>
      <c r="AA14" s="51"/>
    </row>
    <row r="15" spans="3:27" ht="16.5" thickTop="1" thickBot="1" x14ac:dyDescent="0.4">
      <c r="C15" s="428" t="s">
        <v>148</v>
      </c>
      <c r="D15" s="41"/>
      <c r="E15" s="42"/>
      <c r="F15" s="429"/>
      <c r="G15" s="430"/>
      <c r="H15" s="429"/>
      <c r="I15" s="430"/>
      <c r="J15" s="429"/>
      <c r="K15" s="430"/>
      <c r="L15" s="429"/>
      <c r="M15" s="430"/>
      <c r="N15" s="429"/>
      <c r="O15" s="430"/>
      <c r="P15" s="429"/>
      <c r="Q15" s="430"/>
      <c r="R15" s="429"/>
      <c r="S15" s="430"/>
      <c r="T15" s="433"/>
      <c r="U15" s="434"/>
      <c r="V15" s="433"/>
      <c r="W15" s="434"/>
      <c r="X15" s="41"/>
      <c r="Y15" s="42"/>
      <c r="Z15" s="41"/>
      <c r="AA15" s="43"/>
    </row>
    <row r="16" spans="3:27" ht="16" thickBot="1" x14ac:dyDescent="0.4">
      <c r="C16" s="427" t="s">
        <v>149</v>
      </c>
      <c r="D16" s="30"/>
      <c r="E16" s="31"/>
      <c r="F16" s="431"/>
      <c r="G16" s="432"/>
      <c r="H16" s="431"/>
      <c r="I16" s="432"/>
      <c r="J16" s="431"/>
      <c r="K16" s="432"/>
      <c r="L16" s="431"/>
      <c r="M16" s="432"/>
      <c r="N16" s="431"/>
      <c r="O16" s="432"/>
      <c r="P16" s="431"/>
      <c r="Q16" s="432"/>
      <c r="R16" s="431"/>
      <c r="S16" s="432"/>
      <c r="T16" s="450"/>
      <c r="U16" s="451"/>
      <c r="V16" s="450"/>
      <c r="W16" s="31"/>
      <c r="X16" s="30"/>
      <c r="Y16" s="31"/>
      <c r="Z16" s="30"/>
      <c r="AA16" s="45"/>
    </row>
    <row r="17" spans="3:27" ht="16" thickBot="1" x14ac:dyDescent="0.4">
      <c r="C17" s="427" t="s">
        <v>150</v>
      </c>
      <c r="D17" s="30"/>
      <c r="E17" s="31"/>
      <c r="F17" s="431"/>
      <c r="G17" s="432"/>
      <c r="H17" s="431"/>
      <c r="I17" s="432"/>
      <c r="J17" s="431"/>
      <c r="K17" s="432"/>
      <c r="L17" s="431"/>
      <c r="M17" s="432"/>
      <c r="N17" s="431"/>
      <c r="O17" s="432"/>
      <c r="P17" s="431"/>
      <c r="Q17" s="432"/>
      <c r="R17" s="431"/>
      <c r="S17" s="432"/>
      <c r="T17" s="30"/>
      <c r="U17" s="31"/>
      <c r="V17" s="30"/>
      <c r="W17" s="451"/>
      <c r="X17" s="30"/>
      <c r="Y17" s="31"/>
      <c r="Z17" s="30"/>
      <c r="AA17" s="45"/>
    </row>
    <row r="18" spans="3:27" ht="16.5" thickTop="1" thickBot="1" x14ac:dyDescent="0.4">
      <c r="C18" s="447" t="s">
        <v>151</v>
      </c>
      <c r="D18" s="41"/>
      <c r="E18" s="42"/>
      <c r="F18" s="435"/>
      <c r="G18" s="436"/>
      <c r="H18" s="435"/>
      <c r="I18" s="436"/>
      <c r="J18" s="435"/>
      <c r="K18" s="436"/>
      <c r="L18" s="435"/>
      <c r="M18" s="436"/>
      <c r="N18" s="435"/>
      <c r="O18" s="436"/>
      <c r="P18" s="435"/>
      <c r="Q18" s="430"/>
      <c r="R18" s="429"/>
      <c r="S18" s="430"/>
      <c r="T18" s="429"/>
      <c r="U18" s="430"/>
      <c r="V18" s="429"/>
      <c r="W18" s="430"/>
      <c r="X18" s="41"/>
      <c r="Y18" s="42"/>
      <c r="Z18" s="41"/>
      <c r="AA18" s="43"/>
    </row>
    <row r="19" spans="3:27" ht="16" thickBot="1" x14ac:dyDescent="0.4">
      <c r="C19" s="80" t="s">
        <v>152</v>
      </c>
      <c r="D19" s="36"/>
      <c r="E19" s="37"/>
      <c r="F19" s="78"/>
      <c r="G19" s="438"/>
      <c r="H19" s="437"/>
      <c r="I19" s="438"/>
      <c r="J19" s="437"/>
      <c r="K19" s="438"/>
      <c r="L19" s="437"/>
      <c r="M19" s="438"/>
      <c r="N19" s="437"/>
      <c r="O19" s="438"/>
      <c r="P19" s="437"/>
      <c r="Q19" s="438"/>
      <c r="R19" s="437"/>
      <c r="S19" s="438"/>
      <c r="T19" s="437"/>
      <c r="U19" s="438"/>
      <c r="V19" s="437"/>
      <c r="W19" s="438"/>
      <c r="X19" s="36"/>
      <c r="Y19" s="37"/>
      <c r="Z19" s="36"/>
      <c r="AA19" s="81"/>
    </row>
    <row r="20" spans="3:27" ht="16" thickBot="1" x14ac:dyDescent="0.4">
      <c r="C20" s="80" t="s">
        <v>153</v>
      </c>
      <c r="D20" s="36"/>
      <c r="E20" s="37"/>
      <c r="F20" s="437"/>
      <c r="G20" s="426"/>
      <c r="H20" s="78"/>
      <c r="I20" s="426"/>
      <c r="J20" s="78"/>
      <c r="K20" s="426"/>
      <c r="L20" s="437"/>
      <c r="M20" s="438"/>
      <c r="N20" s="437"/>
      <c r="O20" s="438"/>
      <c r="P20" s="437"/>
      <c r="Q20" s="438"/>
      <c r="R20" s="437"/>
      <c r="S20" s="438"/>
      <c r="T20" s="437"/>
      <c r="U20" s="438"/>
      <c r="V20" s="437"/>
      <c r="W20" s="438"/>
      <c r="X20" s="36"/>
      <c r="Y20" s="37"/>
      <c r="Z20" s="36"/>
      <c r="AA20" s="81"/>
    </row>
    <row r="21" spans="3:27" ht="16" thickBot="1" x14ac:dyDescent="0.4">
      <c r="C21" s="80" t="s">
        <v>163</v>
      </c>
      <c r="D21" s="36"/>
      <c r="E21" s="37"/>
      <c r="F21" s="437"/>
      <c r="G21" s="438"/>
      <c r="H21" s="437"/>
      <c r="I21" s="438"/>
      <c r="J21" s="437"/>
      <c r="K21" s="438"/>
      <c r="L21" s="78"/>
      <c r="M21" s="426"/>
      <c r="N21" s="78"/>
      <c r="O21" s="426"/>
      <c r="P21" s="437"/>
      <c r="Q21" s="438"/>
      <c r="R21" s="437"/>
      <c r="S21" s="438"/>
      <c r="T21" s="437"/>
      <c r="U21" s="438"/>
      <c r="V21" s="437"/>
      <c r="W21" s="438"/>
      <c r="X21" s="36"/>
      <c r="Y21" s="37"/>
      <c r="Z21" s="36"/>
      <c r="AA21" s="81"/>
    </row>
    <row r="22" spans="3:27" ht="16" thickBot="1" x14ac:dyDescent="0.4">
      <c r="C22" s="82" t="s">
        <v>164</v>
      </c>
      <c r="D22" s="83"/>
      <c r="E22" s="84"/>
      <c r="F22" s="439"/>
      <c r="G22" s="440"/>
      <c r="H22" s="439"/>
      <c r="I22" s="440"/>
      <c r="J22" s="439"/>
      <c r="K22" s="440"/>
      <c r="L22" s="439"/>
      <c r="M22" s="440"/>
      <c r="N22" s="439"/>
      <c r="O22" s="440"/>
      <c r="P22" s="85"/>
      <c r="Q22" s="440"/>
      <c r="R22" s="439"/>
      <c r="S22" s="440"/>
      <c r="T22" s="439"/>
      <c r="U22" s="440"/>
      <c r="V22" s="439"/>
      <c r="W22" s="440"/>
      <c r="X22" s="83"/>
      <c r="Y22" s="84"/>
      <c r="Z22" s="83"/>
      <c r="AA22" s="86"/>
    </row>
    <row r="23" spans="3:27" ht="16.5" thickTop="1" thickBot="1" x14ac:dyDescent="0.4">
      <c r="C23" s="459" t="s">
        <v>154</v>
      </c>
      <c r="D23" s="72"/>
      <c r="E23" s="73"/>
      <c r="F23" s="72"/>
      <c r="G23" s="73"/>
      <c r="H23" s="72"/>
      <c r="I23" s="73"/>
      <c r="J23" s="72"/>
      <c r="K23" s="73"/>
      <c r="L23" s="441"/>
      <c r="M23" s="442"/>
      <c r="N23" s="441"/>
      <c r="O23" s="442"/>
      <c r="P23" s="441"/>
      <c r="Q23" s="464"/>
      <c r="R23" s="465"/>
      <c r="S23" s="464"/>
      <c r="T23" s="465"/>
      <c r="U23" s="464"/>
      <c r="V23" s="465"/>
      <c r="W23" s="464"/>
      <c r="X23" s="72"/>
      <c r="Y23" s="73"/>
      <c r="Z23" s="72"/>
      <c r="AA23" s="74"/>
    </row>
    <row r="24" spans="3:27" ht="16" thickBot="1" x14ac:dyDescent="0.4">
      <c r="C24" s="460" t="s">
        <v>155</v>
      </c>
      <c r="D24" s="67"/>
      <c r="E24" s="68"/>
      <c r="F24" s="67"/>
      <c r="G24" s="68"/>
      <c r="H24" s="67"/>
      <c r="I24" s="68"/>
      <c r="J24" s="67"/>
      <c r="K24" s="68"/>
      <c r="L24" s="443"/>
      <c r="M24" s="444"/>
      <c r="N24" s="443"/>
      <c r="O24" s="444"/>
      <c r="P24" s="443"/>
      <c r="Q24" s="462"/>
      <c r="R24" s="443"/>
      <c r="S24" s="444"/>
      <c r="T24" s="443"/>
      <c r="U24" s="444"/>
      <c r="V24" s="443"/>
      <c r="W24" s="444"/>
      <c r="X24" s="67"/>
      <c r="Y24" s="68"/>
      <c r="Z24" s="67"/>
      <c r="AA24" s="76"/>
    </row>
    <row r="25" spans="3:27" ht="16" thickBot="1" x14ac:dyDescent="0.4">
      <c r="C25" s="460" t="s">
        <v>156</v>
      </c>
      <c r="D25" s="67"/>
      <c r="E25" s="68"/>
      <c r="F25" s="67"/>
      <c r="G25" s="68"/>
      <c r="H25" s="67"/>
      <c r="I25" s="68"/>
      <c r="J25" s="67"/>
      <c r="K25" s="68"/>
      <c r="L25" s="443"/>
      <c r="M25" s="444"/>
      <c r="N25" s="443"/>
      <c r="O25" s="444"/>
      <c r="P25" s="443"/>
      <c r="Q25" s="444"/>
      <c r="R25" s="463"/>
      <c r="S25" s="462"/>
      <c r="T25" s="463"/>
      <c r="U25" s="444"/>
      <c r="V25" s="443"/>
      <c r="W25" s="444"/>
      <c r="X25" s="67"/>
      <c r="Y25" s="68"/>
      <c r="Z25" s="67"/>
      <c r="AA25" s="76"/>
    </row>
    <row r="26" spans="3:27" ht="16" thickBot="1" x14ac:dyDescent="0.4">
      <c r="C26" s="461" t="s">
        <v>157</v>
      </c>
      <c r="D26" s="47"/>
      <c r="E26" s="48"/>
      <c r="F26" s="47"/>
      <c r="G26" s="48"/>
      <c r="H26" s="47"/>
      <c r="I26" s="48"/>
      <c r="J26" s="47"/>
      <c r="K26" s="48"/>
      <c r="L26" s="445"/>
      <c r="M26" s="446"/>
      <c r="N26" s="445"/>
      <c r="O26" s="446"/>
      <c r="P26" s="445"/>
      <c r="Q26" s="446"/>
      <c r="R26" s="445"/>
      <c r="S26" s="446"/>
      <c r="T26" s="445"/>
      <c r="U26" s="66"/>
      <c r="V26" s="65"/>
      <c r="W26" s="66"/>
      <c r="X26" s="47"/>
      <c r="Y26" s="48"/>
      <c r="Z26" s="47"/>
      <c r="AA26" s="51"/>
    </row>
    <row r="27" spans="3:27" ht="16.5" thickTop="1" thickBot="1" x14ac:dyDescent="0.4">
      <c r="C27" s="458" t="s">
        <v>158</v>
      </c>
      <c r="D27" s="72"/>
      <c r="E27" s="73"/>
      <c r="F27" s="448"/>
      <c r="G27" s="449"/>
      <c r="H27" s="448"/>
      <c r="I27" s="449"/>
      <c r="J27" s="448"/>
      <c r="K27" s="449"/>
      <c r="L27" s="448"/>
      <c r="M27" s="449"/>
      <c r="N27" s="448"/>
      <c r="O27" s="449"/>
      <c r="P27" s="448"/>
      <c r="Q27" s="449"/>
      <c r="R27" s="448"/>
      <c r="S27" s="449"/>
      <c r="T27" s="441"/>
      <c r="U27" s="442"/>
      <c r="V27" s="441"/>
      <c r="W27" s="442"/>
      <c r="X27" s="72"/>
      <c r="Y27" s="73"/>
      <c r="Z27" s="72"/>
      <c r="AA27" s="74"/>
    </row>
    <row r="28" spans="3:27" ht="16" thickBot="1" x14ac:dyDescent="0.4">
      <c r="C28" s="456" t="s">
        <v>159</v>
      </c>
      <c r="D28" s="67"/>
      <c r="E28" s="68"/>
      <c r="F28" s="452"/>
      <c r="G28" s="453"/>
      <c r="H28" s="443"/>
      <c r="I28" s="444"/>
      <c r="J28" s="443"/>
      <c r="K28" s="444"/>
      <c r="L28" s="443"/>
      <c r="M28" s="444"/>
      <c r="N28" s="443"/>
      <c r="O28" s="444"/>
      <c r="P28" s="443"/>
      <c r="Q28" s="444"/>
      <c r="R28" s="443"/>
      <c r="S28" s="444"/>
      <c r="T28" s="67"/>
      <c r="U28" s="68"/>
      <c r="V28" s="67"/>
      <c r="W28" s="68"/>
      <c r="X28" s="67"/>
      <c r="Y28" s="68"/>
      <c r="Z28" s="67"/>
      <c r="AA28" s="76"/>
    </row>
    <row r="29" spans="3:27" ht="16" thickBot="1" x14ac:dyDescent="0.4">
      <c r="C29" s="456" t="s">
        <v>160</v>
      </c>
      <c r="D29" s="67"/>
      <c r="E29" s="68"/>
      <c r="F29" s="443"/>
      <c r="G29" s="444"/>
      <c r="H29" s="452"/>
      <c r="I29" s="453"/>
      <c r="J29" s="452"/>
      <c r="K29" s="444"/>
      <c r="L29" s="443"/>
      <c r="M29" s="444"/>
      <c r="N29" s="443"/>
      <c r="O29" s="444"/>
      <c r="P29" s="443"/>
      <c r="Q29" s="444"/>
      <c r="R29" s="443"/>
      <c r="S29" s="444"/>
      <c r="T29" s="67"/>
      <c r="U29" s="68"/>
      <c r="V29" s="67"/>
      <c r="W29" s="68"/>
      <c r="X29" s="67"/>
      <c r="Y29" s="68"/>
      <c r="Z29" s="67"/>
      <c r="AA29" s="76"/>
    </row>
    <row r="30" spans="3:27" ht="16" thickBot="1" x14ac:dyDescent="0.4">
      <c r="C30" s="456" t="s">
        <v>161</v>
      </c>
      <c r="D30" s="67"/>
      <c r="E30" s="68"/>
      <c r="F30" s="443"/>
      <c r="G30" s="444"/>
      <c r="H30" s="443"/>
      <c r="I30" s="444"/>
      <c r="J30" s="443"/>
      <c r="K30" s="453"/>
      <c r="L30" s="452"/>
      <c r="M30" s="453"/>
      <c r="N30" s="452"/>
      <c r="O30" s="453"/>
      <c r="P30" s="443"/>
      <c r="Q30" s="444"/>
      <c r="R30" s="443"/>
      <c r="S30" s="444"/>
      <c r="T30" s="67"/>
      <c r="U30" s="68"/>
      <c r="V30" s="67"/>
      <c r="W30" s="68"/>
      <c r="X30" s="67"/>
      <c r="Y30" s="68"/>
      <c r="Z30" s="67"/>
      <c r="AA30" s="76"/>
    </row>
    <row r="31" spans="3:27" ht="16" thickBot="1" x14ac:dyDescent="0.4">
      <c r="C31" s="457" t="s">
        <v>162</v>
      </c>
      <c r="D31" s="47"/>
      <c r="E31" s="48"/>
      <c r="F31" s="445"/>
      <c r="G31" s="446"/>
      <c r="H31" s="445"/>
      <c r="I31" s="446"/>
      <c r="J31" s="445"/>
      <c r="K31" s="446"/>
      <c r="L31" s="445"/>
      <c r="M31" s="446"/>
      <c r="N31" s="445"/>
      <c r="O31" s="446"/>
      <c r="P31" s="454"/>
      <c r="Q31" s="455"/>
      <c r="R31" s="454"/>
      <c r="S31" s="455"/>
      <c r="T31" s="445"/>
      <c r="U31" s="446"/>
      <c r="V31" s="445"/>
      <c r="W31" s="446"/>
      <c r="X31" s="47"/>
      <c r="Y31" s="48"/>
      <c r="Z31" s="47"/>
      <c r="AA31" s="51"/>
    </row>
    <row r="32" spans="3:27" ht="16.5" thickTop="1" thickBot="1" x14ac:dyDescent="0.4">
      <c r="C32" s="38" t="s">
        <v>33</v>
      </c>
      <c r="D32" s="41"/>
      <c r="E32" s="42"/>
      <c r="F32" s="41"/>
      <c r="G32" s="42"/>
      <c r="H32" s="41"/>
      <c r="I32" s="42"/>
      <c r="J32" s="41"/>
      <c r="K32" s="42"/>
      <c r="L32" s="41"/>
      <c r="M32" s="42"/>
      <c r="N32" s="41"/>
      <c r="O32" s="42"/>
      <c r="P32" s="41"/>
      <c r="Q32" s="42"/>
      <c r="R32" s="41"/>
      <c r="S32" s="42"/>
      <c r="T32" s="41"/>
      <c r="U32" s="42"/>
      <c r="V32" s="41"/>
      <c r="W32" s="42"/>
      <c r="X32" s="39"/>
      <c r="Y32" s="40"/>
      <c r="Z32" s="39"/>
      <c r="AA32" s="69"/>
    </row>
    <row r="33" spans="1:31" ht="16" thickBot="1" x14ac:dyDescent="0.4">
      <c r="C33" s="44" t="s">
        <v>34</v>
      </c>
      <c r="D33" s="30"/>
      <c r="E33" s="31"/>
      <c r="F33" s="30"/>
      <c r="G33" s="31"/>
      <c r="H33" s="30"/>
      <c r="I33" s="31"/>
      <c r="J33" s="30"/>
      <c r="K33" s="31"/>
      <c r="L33" s="30"/>
      <c r="M33" s="31"/>
      <c r="N33" s="30"/>
      <c r="O33" s="31"/>
      <c r="P33" s="30"/>
      <c r="Q33" s="31"/>
      <c r="R33" s="30"/>
      <c r="S33" s="31"/>
      <c r="T33" s="30"/>
      <c r="U33" s="31"/>
      <c r="V33" s="30"/>
      <c r="W33" s="31"/>
      <c r="X33" s="32"/>
      <c r="Y33" s="33"/>
      <c r="Z33" s="431"/>
      <c r="AA33" s="45"/>
    </row>
    <row r="34" spans="1:31" ht="16" thickBot="1" x14ac:dyDescent="0.4">
      <c r="C34" s="46" t="s">
        <v>35</v>
      </c>
      <c r="D34" s="47"/>
      <c r="E34" s="48"/>
      <c r="F34" s="47"/>
      <c r="G34" s="48"/>
      <c r="H34" s="47"/>
      <c r="I34" s="48"/>
      <c r="J34" s="47"/>
      <c r="K34" s="48"/>
      <c r="L34" s="47"/>
      <c r="M34" s="48"/>
      <c r="N34" s="47"/>
      <c r="O34" s="48"/>
      <c r="P34" s="47"/>
      <c r="Q34" s="48"/>
      <c r="R34" s="47"/>
      <c r="S34" s="48"/>
      <c r="T34" s="47"/>
      <c r="U34" s="48"/>
      <c r="V34" s="47"/>
      <c r="W34" s="48"/>
      <c r="X34" s="47"/>
      <c r="Y34" s="48"/>
      <c r="Z34" s="49"/>
      <c r="AA34" s="70"/>
      <c r="AE34" t="s">
        <v>42</v>
      </c>
    </row>
    <row r="35" spans="1:31" ht="16" thickTop="1" x14ac:dyDescent="0.35"/>
    <row r="36" spans="1:31" x14ac:dyDescent="0.35">
      <c r="A36" s="1" t="s">
        <v>46</v>
      </c>
      <c r="B36" s="344">
        <v>1752</v>
      </c>
    </row>
    <row r="37" spans="1:31" x14ac:dyDescent="0.35">
      <c r="A37" s="1" t="s">
        <v>47</v>
      </c>
      <c r="B37" s="344">
        <f>B36/12</f>
        <v>146</v>
      </c>
    </row>
    <row r="38" spans="1:31" x14ac:dyDescent="0.35">
      <c r="A38" s="1" t="s">
        <v>132</v>
      </c>
      <c r="B38" s="344">
        <f>B37/2</f>
        <v>73</v>
      </c>
    </row>
    <row r="39" spans="1:31" ht="16" thickBot="1" x14ac:dyDescent="0.4">
      <c r="A39" s="1"/>
      <c r="B39" s="344"/>
    </row>
    <row r="40" spans="1:31" ht="16.5" thickTop="1" thickBot="1" x14ac:dyDescent="0.4">
      <c r="C40" s="152" t="s">
        <v>48</v>
      </c>
      <c r="D40" s="402">
        <v>1</v>
      </c>
      <c r="E40" s="402"/>
      <c r="F40" s="402">
        <v>2</v>
      </c>
      <c r="G40" s="402"/>
      <c r="H40" s="402">
        <v>3</v>
      </c>
      <c r="I40" s="402"/>
      <c r="J40" s="402">
        <v>4</v>
      </c>
      <c r="K40" s="402"/>
      <c r="L40" s="402">
        <v>5</v>
      </c>
      <c r="M40" s="402"/>
      <c r="N40" s="402">
        <v>6</v>
      </c>
      <c r="O40" s="402"/>
      <c r="P40" s="402">
        <v>7</v>
      </c>
      <c r="Q40" s="402"/>
      <c r="R40" s="402">
        <v>8</v>
      </c>
      <c r="S40" s="402"/>
      <c r="T40" s="402">
        <v>9</v>
      </c>
      <c r="U40" s="402"/>
      <c r="V40" s="402">
        <v>10</v>
      </c>
      <c r="W40" s="402"/>
      <c r="X40" s="402">
        <v>11</v>
      </c>
      <c r="Y40" s="402"/>
      <c r="Z40" s="402">
        <v>12</v>
      </c>
      <c r="AA40" s="403"/>
      <c r="AB40" s="154" t="s">
        <v>45</v>
      </c>
    </row>
    <row r="41" spans="1:31" ht="16.5" thickTop="1" thickBot="1" x14ac:dyDescent="0.4">
      <c r="C41" s="38" t="s">
        <v>18</v>
      </c>
      <c r="D41" s="89"/>
      <c r="E41" s="90"/>
      <c r="F41" s="505"/>
      <c r="G41" s="506"/>
      <c r="H41" s="91"/>
      <c r="I41" s="92"/>
      <c r="J41" s="91"/>
      <c r="K41" s="92"/>
      <c r="L41" s="91"/>
      <c r="M41" s="92"/>
      <c r="N41" s="91"/>
      <c r="O41" s="92"/>
      <c r="P41" s="91"/>
      <c r="Q41" s="92"/>
      <c r="R41" s="91"/>
      <c r="S41" s="92"/>
      <c r="T41" s="91"/>
      <c r="U41" s="92"/>
      <c r="V41" s="91"/>
      <c r="W41" s="92"/>
      <c r="X41" s="91"/>
      <c r="Y41" s="92"/>
      <c r="Z41" s="91"/>
      <c r="AA41" s="93"/>
      <c r="AB41" s="155">
        <f>SUM(AB42:AB43)</f>
        <v>146</v>
      </c>
    </row>
    <row r="42" spans="1:31" ht="16" thickBot="1" x14ac:dyDescent="0.4">
      <c r="C42" s="44" t="s">
        <v>19</v>
      </c>
      <c r="D42" s="486">
        <v>1</v>
      </c>
      <c r="E42" s="487"/>
      <c r="F42" s="488"/>
      <c r="G42" s="487"/>
      <c r="H42" s="488"/>
      <c r="I42" s="487"/>
      <c r="J42" s="488"/>
      <c r="K42" s="487"/>
      <c r="L42" s="488"/>
      <c r="M42" s="487"/>
      <c r="N42" s="488"/>
      <c r="O42" s="487"/>
      <c r="P42" s="488"/>
      <c r="Q42" s="487"/>
      <c r="R42" s="488"/>
      <c r="S42" s="487"/>
      <c r="T42" s="488"/>
      <c r="U42" s="487"/>
      <c r="V42" s="488"/>
      <c r="W42" s="487"/>
      <c r="X42" s="488"/>
      <c r="Y42" s="487"/>
      <c r="Z42" s="488"/>
      <c r="AA42" s="489"/>
      <c r="AB42" s="156">
        <f>SUM(D42:AA42)*$B$37/2</f>
        <v>73</v>
      </c>
    </row>
    <row r="43" spans="1:31" ht="16" thickBot="1" x14ac:dyDescent="0.4">
      <c r="C43" s="46" t="s">
        <v>20</v>
      </c>
      <c r="D43" s="490"/>
      <c r="E43" s="491">
        <v>1</v>
      </c>
      <c r="F43" s="492"/>
      <c r="G43" s="493"/>
      <c r="H43" s="490"/>
      <c r="I43" s="494"/>
      <c r="J43" s="490"/>
      <c r="K43" s="494"/>
      <c r="L43" s="490"/>
      <c r="M43" s="494"/>
      <c r="N43" s="490"/>
      <c r="O43" s="494"/>
      <c r="P43" s="490"/>
      <c r="Q43" s="494"/>
      <c r="R43" s="490"/>
      <c r="S43" s="494"/>
      <c r="T43" s="490"/>
      <c r="U43" s="494"/>
      <c r="V43" s="490"/>
      <c r="W43" s="494"/>
      <c r="X43" s="490"/>
      <c r="Y43" s="494"/>
      <c r="Z43" s="490"/>
      <c r="AA43" s="495"/>
      <c r="AB43" s="157">
        <f>SUM(D43:AA43)*$B$37/2</f>
        <v>73</v>
      </c>
    </row>
    <row r="44" spans="1:31" ht="16.5" thickTop="1" thickBot="1" x14ac:dyDescent="0.4">
      <c r="C44" s="53" t="s">
        <v>141</v>
      </c>
      <c r="D44" s="91"/>
      <c r="E44" s="92"/>
      <c r="F44" s="94"/>
      <c r="G44" s="95"/>
      <c r="H44" s="94"/>
      <c r="I44" s="95"/>
      <c r="J44" s="94"/>
      <c r="K44" s="95"/>
      <c r="L44" s="94"/>
      <c r="M44" s="95"/>
      <c r="N44" s="94"/>
      <c r="O44" s="95"/>
      <c r="P44" s="94"/>
      <c r="Q44" s="95"/>
      <c r="R44" s="94"/>
      <c r="S44" s="95"/>
      <c r="T44" s="94"/>
      <c r="U44" s="95"/>
      <c r="V44" s="94"/>
      <c r="W44" s="95"/>
      <c r="X44" s="91"/>
      <c r="Y44" s="92"/>
      <c r="Z44" s="91"/>
      <c r="AA44" s="93"/>
      <c r="AB44" s="155">
        <f>SUM(AB45:AB50)</f>
        <v>627.79999999999995</v>
      </c>
    </row>
    <row r="45" spans="1:31" ht="16" thickBot="1" x14ac:dyDescent="0.4">
      <c r="C45" s="56" t="s">
        <v>142</v>
      </c>
      <c r="D45" s="488"/>
      <c r="E45" s="487"/>
      <c r="F45" s="496">
        <v>0.5</v>
      </c>
      <c r="G45" s="497">
        <v>0.5</v>
      </c>
      <c r="H45" s="498"/>
      <c r="I45" s="499"/>
      <c r="J45" s="498"/>
      <c r="K45" s="499"/>
      <c r="L45" s="498"/>
      <c r="M45" s="499"/>
      <c r="N45" s="498"/>
      <c r="O45" s="499"/>
      <c r="P45" s="498"/>
      <c r="Q45" s="499"/>
      <c r="R45" s="498"/>
      <c r="S45" s="499"/>
      <c r="T45" s="498"/>
      <c r="U45" s="499"/>
      <c r="V45" s="498"/>
      <c r="W45" s="499"/>
      <c r="X45" s="488"/>
      <c r="Y45" s="487"/>
      <c r="Z45" s="488"/>
      <c r="AA45" s="489"/>
      <c r="AB45" s="156">
        <f>SUM(D45:AA45)*$B$37/2</f>
        <v>73</v>
      </c>
    </row>
    <row r="46" spans="1:31" ht="16" thickBot="1" x14ac:dyDescent="0.4">
      <c r="C46" s="56" t="s">
        <v>143</v>
      </c>
      <c r="D46" s="488"/>
      <c r="E46" s="487"/>
      <c r="F46" s="488"/>
      <c r="G46" s="487"/>
      <c r="H46" s="497">
        <v>0.4</v>
      </c>
      <c r="I46" s="497">
        <v>0.4</v>
      </c>
      <c r="J46" s="497">
        <v>0.4</v>
      </c>
      <c r="K46" s="497">
        <v>0.4</v>
      </c>
      <c r="L46" s="498"/>
      <c r="M46" s="499"/>
      <c r="N46" s="498"/>
      <c r="O46" s="499"/>
      <c r="P46" s="498"/>
      <c r="Q46" s="499"/>
      <c r="R46" s="498"/>
      <c r="S46" s="499"/>
      <c r="T46" s="498"/>
      <c r="U46" s="499"/>
      <c r="V46" s="498"/>
      <c r="W46" s="499"/>
      <c r="X46" s="488"/>
      <c r="Y46" s="487"/>
      <c r="Z46" s="488"/>
      <c r="AA46" s="489"/>
      <c r="AB46" s="156">
        <f>SUM(D46:AA46)*$B$37/2</f>
        <v>116.80000000000001</v>
      </c>
    </row>
    <row r="47" spans="1:31" ht="16" thickBot="1" x14ac:dyDescent="0.4">
      <c r="C47" s="56" t="s">
        <v>144</v>
      </c>
      <c r="D47" s="488"/>
      <c r="E47" s="487"/>
      <c r="F47" s="488"/>
      <c r="G47" s="487"/>
      <c r="H47" s="498"/>
      <c r="I47" s="499"/>
      <c r="J47" s="498"/>
      <c r="K47" s="499"/>
      <c r="L47" s="546">
        <v>0.5</v>
      </c>
      <c r="M47" s="497">
        <v>0.5</v>
      </c>
      <c r="N47" s="497">
        <v>0.5</v>
      </c>
      <c r="O47" s="497">
        <v>0.5</v>
      </c>
      <c r="P47" s="497">
        <v>0.5</v>
      </c>
      <c r="Q47" s="497">
        <v>0.5</v>
      </c>
      <c r="R47" s="498"/>
      <c r="S47" s="499"/>
      <c r="T47" s="498"/>
      <c r="U47" s="499"/>
      <c r="V47" s="498"/>
      <c r="W47" s="499"/>
      <c r="X47" s="488"/>
      <c r="Y47" s="487"/>
      <c r="Z47" s="488"/>
      <c r="AA47" s="489"/>
      <c r="AB47" s="156">
        <f>SUM(D47:AA47)*$B$37/2</f>
        <v>219</v>
      </c>
    </row>
    <row r="48" spans="1:31" ht="16" thickBot="1" x14ac:dyDescent="0.4">
      <c r="C48" s="423" t="s">
        <v>145</v>
      </c>
      <c r="D48" s="500"/>
      <c r="E48" s="501"/>
      <c r="F48" s="500"/>
      <c r="G48" s="501"/>
      <c r="H48" s="502"/>
      <c r="I48" s="503"/>
      <c r="J48" s="502"/>
      <c r="K48" s="503"/>
      <c r="L48" s="502"/>
      <c r="M48" s="503"/>
      <c r="N48" s="502"/>
      <c r="O48" s="503"/>
      <c r="P48" s="502"/>
      <c r="Q48" s="503"/>
      <c r="R48" s="497">
        <v>0.5</v>
      </c>
      <c r="S48" s="497">
        <v>0.5</v>
      </c>
      <c r="T48" s="502"/>
      <c r="U48" s="503"/>
      <c r="V48" s="502"/>
      <c r="W48" s="503"/>
      <c r="X48" s="500"/>
      <c r="Y48" s="501"/>
      <c r="Z48" s="500"/>
      <c r="AA48" s="504"/>
      <c r="AB48" s="156">
        <f>SUM(D48:AA48)*$B$37/2</f>
        <v>73</v>
      </c>
    </row>
    <row r="49" spans="3:28" ht="16" thickBot="1" x14ac:dyDescent="0.4">
      <c r="C49" s="423" t="s">
        <v>146</v>
      </c>
      <c r="D49" s="500"/>
      <c r="E49" s="501"/>
      <c r="F49" s="500"/>
      <c r="G49" s="501"/>
      <c r="H49" s="502"/>
      <c r="I49" s="503"/>
      <c r="J49" s="502"/>
      <c r="K49" s="503"/>
      <c r="L49" s="502"/>
      <c r="M49" s="503"/>
      <c r="N49" s="502"/>
      <c r="O49" s="503"/>
      <c r="P49" s="502"/>
      <c r="Q49" s="503"/>
      <c r="R49" s="502"/>
      <c r="S49" s="503"/>
      <c r="T49" s="497">
        <v>0.5</v>
      </c>
      <c r="U49" s="497">
        <v>0.5</v>
      </c>
      <c r="V49" s="502"/>
      <c r="W49" s="503"/>
      <c r="X49" s="500"/>
      <c r="Y49" s="501"/>
      <c r="Z49" s="500"/>
      <c r="AA49" s="504"/>
      <c r="AB49" s="156">
        <f>SUM(D49:AA49)*$B$37/2</f>
        <v>73</v>
      </c>
    </row>
    <row r="50" spans="3:28" ht="16" thickBot="1" x14ac:dyDescent="0.4">
      <c r="C50" s="57" t="s">
        <v>147</v>
      </c>
      <c r="D50" s="490"/>
      <c r="E50" s="494"/>
      <c r="F50" s="490"/>
      <c r="G50" s="494"/>
      <c r="H50" s="492"/>
      <c r="I50" s="493"/>
      <c r="J50" s="492"/>
      <c r="K50" s="493"/>
      <c r="L50" s="492"/>
      <c r="M50" s="493"/>
      <c r="N50" s="492"/>
      <c r="O50" s="493"/>
      <c r="P50" s="492"/>
      <c r="Q50" s="493"/>
      <c r="R50" s="492"/>
      <c r="S50" s="493"/>
      <c r="T50" s="492"/>
      <c r="U50" s="493"/>
      <c r="V50" s="497">
        <v>0.5</v>
      </c>
      <c r="W50" s="497">
        <v>0.5</v>
      </c>
      <c r="X50" s="490"/>
      <c r="Y50" s="494"/>
      <c r="Z50" s="490"/>
      <c r="AA50" s="495"/>
      <c r="AB50" s="157">
        <f>SUM(D50:AA50)*$B$37/2</f>
        <v>73</v>
      </c>
    </row>
    <row r="51" spans="3:28" ht="16.5" thickTop="1" thickBot="1" x14ac:dyDescent="0.4">
      <c r="C51" s="428" t="s">
        <v>148</v>
      </c>
      <c r="D51" s="91"/>
      <c r="E51" s="92"/>
      <c r="F51" s="505"/>
      <c r="G51" s="506"/>
      <c r="H51" s="505"/>
      <c r="I51" s="506"/>
      <c r="J51" s="505"/>
      <c r="K51" s="506"/>
      <c r="L51" s="505"/>
      <c r="M51" s="506"/>
      <c r="N51" s="505"/>
      <c r="O51" s="506"/>
      <c r="P51" s="505"/>
      <c r="Q51" s="506"/>
      <c r="R51" s="505"/>
      <c r="S51" s="506"/>
      <c r="T51" s="507"/>
      <c r="U51" s="508"/>
      <c r="V51" s="507"/>
      <c r="W51" s="508"/>
      <c r="X51" s="91"/>
      <c r="Y51" s="92"/>
      <c r="Z51" s="91"/>
      <c r="AA51" s="93"/>
      <c r="AB51" s="155">
        <f>SUM(AB52:AB53)</f>
        <v>80.3</v>
      </c>
    </row>
    <row r="52" spans="3:28" ht="16" thickBot="1" x14ac:dyDescent="0.4">
      <c r="C52" s="427" t="s">
        <v>149</v>
      </c>
      <c r="D52" s="488"/>
      <c r="E52" s="487"/>
      <c r="F52" s="498"/>
      <c r="G52" s="499"/>
      <c r="H52" s="498"/>
      <c r="I52" s="499"/>
      <c r="J52" s="498"/>
      <c r="K52" s="499"/>
      <c r="L52" s="498"/>
      <c r="M52" s="499"/>
      <c r="N52" s="498"/>
      <c r="O52" s="499"/>
      <c r="P52" s="498"/>
      <c r="Q52" s="499"/>
      <c r="R52" s="498"/>
      <c r="S52" s="499"/>
      <c r="T52" s="509">
        <v>0.35</v>
      </c>
      <c r="U52" s="510">
        <v>0.25</v>
      </c>
      <c r="V52" s="509">
        <v>0.25</v>
      </c>
      <c r="W52" s="487"/>
      <c r="X52" s="488"/>
      <c r="Y52" s="487"/>
      <c r="Z52" s="488"/>
      <c r="AA52" s="489"/>
      <c r="AB52" s="156">
        <f>SUM(D52:AA52)*$B$37/2</f>
        <v>62.05</v>
      </c>
    </row>
    <row r="53" spans="3:28" ht="16" thickBot="1" x14ac:dyDescent="0.4">
      <c r="C53" s="427" t="s">
        <v>150</v>
      </c>
      <c r="D53" s="488"/>
      <c r="E53" s="487"/>
      <c r="F53" s="498"/>
      <c r="G53" s="499"/>
      <c r="H53" s="498"/>
      <c r="I53" s="499"/>
      <c r="J53" s="498"/>
      <c r="K53" s="499"/>
      <c r="L53" s="498"/>
      <c r="M53" s="499"/>
      <c r="N53" s="498"/>
      <c r="O53" s="499"/>
      <c r="P53" s="498"/>
      <c r="Q53" s="499"/>
      <c r="R53" s="498"/>
      <c r="S53" s="499"/>
      <c r="T53" s="488"/>
      <c r="U53" s="487"/>
      <c r="V53" s="488"/>
      <c r="W53" s="510">
        <v>0.25</v>
      </c>
      <c r="X53" s="488"/>
      <c r="Y53" s="487"/>
      <c r="Z53" s="488"/>
      <c r="AA53" s="489"/>
      <c r="AB53" s="157">
        <f>SUM(D53:AA53)*$B$37/2</f>
        <v>18.25</v>
      </c>
    </row>
    <row r="54" spans="3:28" ht="16.5" thickTop="1" thickBot="1" x14ac:dyDescent="0.4">
      <c r="C54" s="447" t="s">
        <v>151</v>
      </c>
      <c r="D54" s="91"/>
      <c r="E54" s="92"/>
      <c r="F54" s="511"/>
      <c r="G54" s="512"/>
      <c r="H54" s="511"/>
      <c r="I54" s="512"/>
      <c r="J54" s="511"/>
      <c r="K54" s="512"/>
      <c r="L54" s="511"/>
      <c r="M54" s="512"/>
      <c r="N54" s="511"/>
      <c r="O54" s="512"/>
      <c r="P54" s="511"/>
      <c r="Q54" s="506"/>
      <c r="R54" s="505"/>
      <c r="S54" s="506"/>
      <c r="T54" s="505"/>
      <c r="U54" s="506"/>
      <c r="V54" s="505"/>
      <c r="W54" s="506"/>
      <c r="X54" s="91"/>
      <c r="Y54" s="92"/>
      <c r="Z54" s="91"/>
      <c r="AA54" s="93"/>
      <c r="AB54" s="155">
        <f>SUM(AB55:AB58)</f>
        <v>189.8</v>
      </c>
    </row>
    <row r="55" spans="3:28" ht="16" thickBot="1" x14ac:dyDescent="0.4">
      <c r="C55" s="80" t="s">
        <v>152</v>
      </c>
      <c r="D55" s="513"/>
      <c r="E55" s="514"/>
      <c r="F55" s="515">
        <v>0.2</v>
      </c>
      <c r="G55" s="517"/>
      <c r="H55" s="516"/>
      <c r="I55" s="517"/>
      <c r="J55" s="516"/>
      <c r="K55" s="517"/>
      <c r="L55" s="516"/>
      <c r="M55" s="517"/>
      <c r="N55" s="516"/>
      <c r="O55" s="517"/>
      <c r="P55" s="516"/>
      <c r="Q55" s="517"/>
      <c r="R55" s="516"/>
      <c r="S55" s="517"/>
      <c r="T55" s="516"/>
      <c r="U55" s="517"/>
      <c r="V55" s="516"/>
      <c r="W55" s="517"/>
      <c r="X55" s="513"/>
      <c r="Y55" s="514"/>
      <c r="Z55" s="513"/>
      <c r="AA55" s="518"/>
      <c r="AB55" s="156">
        <f>SUM(D55:AA55)*$B$37/2</f>
        <v>14.600000000000001</v>
      </c>
    </row>
    <row r="56" spans="3:28" ht="16" thickBot="1" x14ac:dyDescent="0.4">
      <c r="C56" s="80" t="s">
        <v>153</v>
      </c>
      <c r="D56" s="513"/>
      <c r="E56" s="514"/>
      <c r="F56" s="516"/>
      <c r="G56" s="519">
        <v>0.3</v>
      </c>
      <c r="H56" s="519">
        <v>0.3</v>
      </c>
      <c r="I56" s="519">
        <v>0.3</v>
      </c>
      <c r="J56" s="519">
        <v>0.3</v>
      </c>
      <c r="K56" s="519">
        <v>0.3</v>
      </c>
      <c r="L56" s="516"/>
      <c r="M56" s="517"/>
      <c r="N56" s="516"/>
      <c r="O56" s="517"/>
      <c r="P56" s="516"/>
      <c r="Q56" s="517"/>
      <c r="R56" s="516"/>
      <c r="S56" s="517"/>
      <c r="T56" s="516"/>
      <c r="U56" s="517"/>
      <c r="V56" s="516"/>
      <c r="W56" s="517"/>
      <c r="X56" s="513"/>
      <c r="Y56" s="514"/>
      <c r="Z56" s="513"/>
      <c r="AA56" s="518"/>
      <c r="AB56" s="156">
        <f>SUM(D56:AA56)*$B$37/2</f>
        <v>109.5</v>
      </c>
    </row>
    <row r="57" spans="3:28" ht="16" thickBot="1" x14ac:dyDescent="0.4">
      <c r="C57" s="80" t="s">
        <v>163</v>
      </c>
      <c r="D57" s="513"/>
      <c r="E57" s="514"/>
      <c r="F57" s="516"/>
      <c r="G57" s="517"/>
      <c r="H57" s="516"/>
      <c r="I57" s="517"/>
      <c r="J57" s="516"/>
      <c r="K57" s="517"/>
      <c r="L57" s="515">
        <v>0.2</v>
      </c>
      <c r="M57" s="515">
        <v>0.2</v>
      </c>
      <c r="N57" s="515">
        <v>0.2</v>
      </c>
      <c r="O57" s="515">
        <v>0.2</v>
      </c>
      <c r="P57" s="516"/>
      <c r="Q57" s="517"/>
      <c r="R57" s="516"/>
      <c r="S57" s="517"/>
      <c r="T57" s="516"/>
      <c r="U57" s="517"/>
      <c r="V57" s="516"/>
      <c r="W57" s="517"/>
      <c r="X57" s="513"/>
      <c r="Y57" s="514"/>
      <c r="Z57" s="513"/>
      <c r="AA57" s="518"/>
      <c r="AB57" s="156">
        <f>SUM(D57:AA57)*$B$37/2</f>
        <v>58.400000000000006</v>
      </c>
    </row>
    <row r="58" spans="3:28" ht="16" thickBot="1" x14ac:dyDescent="0.4">
      <c r="C58" s="82" t="s">
        <v>164</v>
      </c>
      <c r="D58" s="520"/>
      <c r="E58" s="521"/>
      <c r="F58" s="522"/>
      <c r="G58" s="523"/>
      <c r="H58" s="522"/>
      <c r="I58" s="523"/>
      <c r="J58" s="522"/>
      <c r="K58" s="523"/>
      <c r="L58" s="522"/>
      <c r="M58" s="523"/>
      <c r="N58" s="522"/>
      <c r="O58" s="523"/>
      <c r="P58" s="545">
        <v>0.1</v>
      </c>
      <c r="Q58" s="523"/>
      <c r="R58" s="522"/>
      <c r="S58" s="523"/>
      <c r="T58" s="522"/>
      <c r="U58" s="523"/>
      <c r="V58" s="522"/>
      <c r="W58" s="523"/>
      <c r="X58" s="520"/>
      <c r="Y58" s="521"/>
      <c r="Z58" s="520"/>
      <c r="AA58" s="524"/>
      <c r="AB58" s="157">
        <f>SUM(D58:AA58)*$B$37/2</f>
        <v>7.3000000000000007</v>
      </c>
    </row>
    <row r="59" spans="3:28" ht="16.5" thickTop="1" thickBot="1" x14ac:dyDescent="0.4">
      <c r="C59" s="459" t="s">
        <v>154</v>
      </c>
      <c r="D59" s="525"/>
      <c r="E59" s="526"/>
      <c r="F59" s="525"/>
      <c r="G59" s="526"/>
      <c r="H59" s="525"/>
      <c r="I59" s="526"/>
      <c r="J59" s="525"/>
      <c r="K59" s="526"/>
      <c r="L59" s="527"/>
      <c r="M59" s="528"/>
      <c r="N59" s="527"/>
      <c r="O59" s="528"/>
      <c r="P59" s="527"/>
      <c r="Q59" s="530"/>
      <c r="R59" s="529"/>
      <c r="S59" s="530"/>
      <c r="T59" s="529"/>
      <c r="U59" s="530"/>
      <c r="V59" s="529"/>
      <c r="W59" s="530"/>
      <c r="X59" s="525"/>
      <c r="Y59" s="526"/>
      <c r="Z59" s="525"/>
      <c r="AA59" s="531"/>
      <c r="AB59" s="155">
        <f>SUM(AB60:AB62)</f>
        <v>116.80000000000001</v>
      </c>
    </row>
    <row r="60" spans="3:28" ht="16" thickBot="1" x14ac:dyDescent="0.4">
      <c r="C60" s="460" t="s">
        <v>155</v>
      </c>
      <c r="D60" s="500"/>
      <c r="E60" s="501"/>
      <c r="F60" s="500"/>
      <c r="G60" s="501"/>
      <c r="H60" s="500"/>
      <c r="I60" s="501"/>
      <c r="J60" s="500"/>
      <c r="K60" s="501"/>
      <c r="L60" s="502"/>
      <c r="M60" s="503"/>
      <c r="N60" s="502"/>
      <c r="O60" s="503"/>
      <c r="P60" s="502"/>
      <c r="Q60" s="533">
        <v>0.2</v>
      </c>
      <c r="R60" s="502"/>
      <c r="S60" s="503"/>
      <c r="T60" s="502"/>
      <c r="U60" s="503"/>
      <c r="V60" s="502"/>
      <c r="W60" s="503"/>
      <c r="X60" s="500"/>
      <c r="Y60" s="501"/>
      <c r="Z60" s="500"/>
      <c r="AA60" s="504"/>
      <c r="AB60" s="156">
        <f>SUM(D60:AA60)*$B$37/2</f>
        <v>14.600000000000001</v>
      </c>
    </row>
    <row r="61" spans="3:28" ht="16" thickBot="1" x14ac:dyDescent="0.4">
      <c r="C61" s="460" t="s">
        <v>156</v>
      </c>
      <c r="D61" s="500"/>
      <c r="E61" s="501"/>
      <c r="F61" s="500"/>
      <c r="G61" s="501"/>
      <c r="H61" s="500"/>
      <c r="I61" s="501"/>
      <c r="J61" s="500"/>
      <c r="K61" s="501"/>
      <c r="L61" s="502"/>
      <c r="M61" s="503"/>
      <c r="N61" s="502"/>
      <c r="O61" s="503"/>
      <c r="P61" s="502"/>
      <c r="Q61" s="503"/>
      <c r="R61" s="532">
        <v>0.25</v>
      </c>
      <c r="S61" s="533">
        <v>0.25</v>
      </c>
      <c r="T61" s="532">
        <v>0.15</v>
      </c>
      <c r="U61" s="503"/>
      <c r="V61" s="502"/>
      <c r="W61" s="503"/>
      <c r="X61" s="500"/>
      <c r="Y61" s="501"/>
      <c r="Z61" s="500"/>
      <c r="AA61" s="504"/>
      <c r="AB61" s="156">
        <f>SUM(D61:AA61)*$B$37/2</f>
        <v>47.45</v>
      </c>
    </row>
    <row r="62" spans="3:28" ht="16" thickBot="1" x14ac:dyDescent="0.4">
      <c r="C62" s="461" t="s">
        <v>157</v>
      </c>
      <c r="D62" s="490"/>
      <c r="E62" s="494"/>
      <c r="F62" s="490"/>
      <c r="G62" s="494"/>
      <c r="H62" s="490"/>
      <c r="I62" s="494"/>
      <c r="J62" s="490"/>
      <c r="K62" s="494"/>
      <c r="L62" s="492"/>
      <c r="M62" s="493"/>
      <c r="N62" s="492"/>
      <c r="O62" s="493"/>
      <c r="P62" s="492"/>
      <c r="Q62" s="493"/>
      <c r="R62" s="492"/>
      <c r="S62" s="493"/>
      <c r="T62" s="492"/>
      <c r="U62" s="535">
        <v>0.25</v>
      </c>
      <c r="V62" s="534">
        <v>0.25</v>
      </c>
      <c r="W62" s="535">
        <v>0.25</v>
      </c>
      <c r="X62" s="490"/>
      <c r="Y62" s="494"/>
      <c r="Z62" s="490"/>
      <c r="AA62" s="495"/>
      <c r="AB62" s="157">
        <f>SUM(D62:AA62)*$B$37/2</f>
        <v>54.75</v>
      </c>
    </row>
    <row r="63" spans="3:28" ht="16.5" thickTop="1" thickBot="1" x14ac:dyDescent="0.4">
      <c r="C63" s="458" t="s">
        <v>158</v>
      </c>
      <c r="D63" s="525"/>
      <c r="E63" s="526"/>
      <c r="F63" s="536"/>
      <c r="G63" s="537"/>
      <c r="H63" s="536"/>
      <c r="I63" s="537"/>
      <c r="J63" s="536"/>
      <c r="K63" s="537"/>
      <c r="L63" s="536"/>
      <c r="M63" s="537"/>
      <c r="N63" s="536"/>
      <c r="O63" s="537"/>
      <c r="P63" s="536"/>
      <c r="Q63" s="537"/>
      <c r="R63" s="536"/>
      <c r="S63" s="537"/>
      <c r="T63" s="527"/>
      <c r="U63" s="528"/>
      <c r="V63" s="527"/>
      <c r="W63" s="528"/>
      <c r="X63" s="525"/>
      <c r="Y63" s="526"/>
      <c r="Z63" s="525"/>
      <c r="AA63" s="531"/>
      <c r="AB63" s="155">
        <f>SUM(AB64:AB67)</f>
        <v>299.29999999999995</v>
      </c>
    </row>
    <row r="64" spans="3:28" ht="16" thickBot="1" x14ac:dyDescent="0.4">
      <c r="C64" s="456" t="s">
        <v>159</v>
      </c>
      <c r="D64" s="500"/>
      <c r="E64" s="501"/>
      <c r="F64" s="538">
        <v>0.3</v>
      </c>
      <c r="G64" s="539">
        <v>0.2</v>
      </c>
      <c r="H64" s="502"/>
      <c r="I64" s="503"/>
      <c r="J64" s="502"/>
      <c r="K64" s="503"/>
      <c r="L64" s="502"/>
      <c r="M64" s="503"/>
      <c r="N64" s="502"/>
      <c r="O64" s="503"/>
      <c r="P64" s="502"/>
      <c r="Q64" s="503"/>
      <c r="R64" s="502"/>
      <c r="S64" s="503"/>
      <c r="T64" s="500"/>
      <c r="U64" s="501"/>
      <c r="V64" s="500"/>
      <c r="W64" s="501"/>
      <c r="X64" s="500"/>
      <c r="Y64" s="501"/>
      <c r="Z64" s="500"/>
      <c r="AA64" s="504"/>
      <c r="AB64" s="156">
        <f>SUM(D64:AA64)*$B$37/2</f>
        <v>36.5</v>
      </c>
    </row>
    <row r="65" spans="3:31" ht="16" thickBot="1" x14ac:dyDescent="0.4">
      <c r="C65" s="456" t="s">
        <v>160</v>
      </c>
      <c r="D65" s="500"/>
      <c r="E65" s="501"/>
      <c r="F65" s="502"/>
      <c r="G65" s="503"/>
      <c r="H65" s="539">
        <v>0.3</v>
      </c>
      <c r="I65" s="539">
        <v>0.3</v>
      </c>
      <c r="J65" s="539">
        <v>0.3</v>
      </c>
      <c r="K65" s="503"/>
      <c r="L65" s="502"/>
      <c r="M65" s="503"/>
      <c r="N65" s="502"/>
      <c r="O65" s="503"/>
      <c r="P65" s="502"/>
      <c r="Q65" s="503"/>
      <c r="R65" s="502"/>
      <c r="S65" s="503"/>
      <c r="T65" s="500"/>
      <c r="U65" s="501"/>
      <c r="V65" s="500"/>
      <c r="W65" s="501"/>
      <c r="X65" s="500"/>
      <c r="Y65" s="501"/>
      <c r="Z65" s="500"/>
      <c r="AA65" s="504"/>
      <c r="AB65" s="156">
        <f>SUM(D65:AA65)*$B$37/2</f>
        <v>65.699999999999989</v>
      </c>
    </row>
    <row r="66" spans="3:31" ht="16" thickBot="1" x14ac:dyDescent="0.4">
      <c r="C66" s="456" t="s">
        <v>161</v>
      </c>
      <c r="D66" s="500"/>
      <c r="E66" s="501"/>
      <c r="F66" s="502"/>
      <c r="G66" s="503"/>
      <c r="H66" s="502"/>
      <c r="I66" s="503"/>
      <c r="J66" s="502"/>
      <c r="K66" s="539">
        <v>0.3</v>
      </c>
      <c r="L66" s="538">
        <v>0.3</v>
      </c>
      <c r="M66" s="538">
        <v>0.3</v>
      </c>
      <c r="N66" s="538">
        <v>0.3</v>
      </c>
      <c r="O66" s="538">
        <v>0.3</v>
      </c>
      <c r="P66" s="502"/>
      <c r="Q66" s="503"/>
      <c r="R66" s="502"/>
      <c r="S66" s="503"/>
      <c r="T66" s="500"/>
      <c r="U66" s="501"/>
      <c r="V66" s="500"/>
      <c r="W66" s="501"/>
      <c r="X66" s="500"/>
      <c r="Y66" s="501"/>
      <c r="Z66" s="500"/>
      <c r="AA66" s="504"/>
      <c r="AB66" s="156">
        <f>SUM(D66:AA66)*$B$37/2</f>
        <v>109.5</v>
      </c>
    </row>
    <row r="67" spans="3:31" ht="16" thickBot="1" x14ac:dyDescent="0.4">
      <c r="C67" s="457" t="s">
        <v>162</v>
      </c>
      <c r="D67" s="490"/>
      <c r="E67" s="494"/>
      <c r="F67" s="492"/>
      <c r="G67" s="493"/>
      <c r="H67" s="492"/>
      <c r="I67" s="493"/>
      <c r="J67" s="492"/>
      <c r="K67" s="493"/>
      <c r="L67" s="492"/>
      <c r="M67" s="493"/>
      <c r="N67" s="492"/>
      <c r="O67" s="493"/>
      <c r="P67" s="540">
        <v>0.4</v>
      </c>
      <c r="Q67" s="541">
        <v>0.3</v>
      </c>
      <c r="R67" s="540">
        <v>0.25</v>
      </c>
      <c r="S67" s="541">
        <v>0.25</v>
      </c>
      <c r="T67" s="492"/>
      <c r="U67" s="493"/>
      <c r="V67" s="492"/>
      <c r="W67" s="493"/>
      <c r="X67" s="490"/>
      <c r="Y67" s="494"/>
      <c r="Z67" s="490"/>
      <c r="AA67" s="495"/>
      <c r="AB67" s="157">
        <f>SUM(D67:AA67)*$B$37/2</f>
        <v>87.6</v>
      </c>
    </row>
    <row r="68" spans="3:31" ht="16.5" thickTop="1" thickBot="1" x14ac:dyDescent="0.4">
      <c r="C68" s="38" t="s">
        <v>33</v>
      </c>
      <c r="D68" s="91"/>
      <c r="E68" s="92"/>
      <c r="F68" s="91"/>
      <c r="G68" s="92"/>
      <c r="H68" s="91"/>
      <c r="I68" s="92"/>
      <c r="J68" s="91"/>
      <c r="K68" s="92"/>
      <c r="L68" s="91"/>
      <c r="M68" s="92"/>
      <c r="N68" s="91"/>
      <c r="O68" s="92"/>
      <c r="P68" s="91"/>
      <c r="Q68" s="92"/>
      <c r="R68" s="91"/>
      <c r="S68" s="92"/>
      <c r="T68" s="91"/>
      <c r="U68" s="92"/>
      <c r="V68" s="91"/>
      <c r="W68" s="92"/>
      <c r="X68" s="89"/>
      <c r="Y68" s="90"/>
      <c r="Z68" s="89"/>
      <c r="AA68" s="98"/>
      <c r="AB68" s="155">
        <f>SUM(AB69:AB70)</f>
        <v>292</v>
      </c>
    </row>
    <row r="69" spans="3:31" ht="16" thickBot="1" x14ac:dyDescent="0.4">
      <c r="C69" s="44" t="s">
        <v>34</v>
      </c>
      <c r="D69" s="488"/>
      <c r="E69" s="487"/>
      <c r="F69" s="488"/>
      <c r="G69" s="487"/>
      <c r="H69" s="488"/>
      <c r="I69" s="487"/>
      <c r="J69" s="488"/>
      <c r="K69" s="487"/>
      <c r="L69" s="488"/>
      <c r="M69" s="487"/>
      <c r="N69" s="488"/>
      <c r="O69" s="487"/>
      <c r="P69" s="488"/>
      <c r="Q69" s="487"/>
      <c r="R69" s="488"/>
      <c r="S69" s="487"/>
      <c r="T69" s="488"/>
      <c r="U69" s="487"/>
      <c r="V69" s="488"/>
      <c r="W69" s="487"/>
      <c r="X69" s="486">
        <v>1</v>
      </c>
      <c r="Y69" s="542">
        <v>1</v>
      </c>
      <c r="Z69" s="498"/>
      <c r="AA69" s="489"/>
      <c r="AB69" s="156">
        <f>SUM(D69:AA69)*$B$37/2</f>
        <v>146</v>
      </c>
    </row>
    <row r="70" spans="3:31" ht="16" thickBot="1" x14ac:dyDescent="0.4">
      <c r="C70" s="46" t="s">
        <v>35</v>
      </c>
      <c r="D70" s="490"/>
      <c r="E70" s="494"/>
      <c r="F70" s="490"/>
      <c r="G70" s="494"/>
      <c r="H70" s="490"/>
      <c r="I70" s="494"/>
      <c r="J70" s="490"/>
      <c r="K70" s="494"/>
      <c r="L70" s="490"/>
      <c r="M70" s="494"/>
      <c r="N70" s="490"/>
      <c r="O70" s="494"/>
      <c r="P70" s="490"/>
      <c r="Q70" s="494"/>
      <c r="R70" s="490"/>
      <c r="S70" s="494"/>
      <c r="T70" s="490"/>
      <c r="U70" s="494"/>
      <c r="V70" s="490"/>
      <c r="W70" s="494"/>
      <c r="X70" s="490"/>
      <c r="Y70" s="494"/>
      <c r="Z70" s="543">
        <v>1</v>
      </c>
      <c r="AA70" s="544">
        <v>1</v>
      </c>
      <c r="AB70" s="157">
        <f>SUM(D70:AA70)*$B$37/2</f>
        <v>146</v>
      </c>
      <c r="AE70" t="s">
        <v>42</v>
      </c>
    </row>
    <row r="71" spans="3:31" ht="16.5" thickTop="1" thickBot="1" x14ac:dyDescent="0.4">
      <c r="C71" s="148" t="s">
        <v>9</v>
      </c>
      <c r="D71" s="149">
        <f>SUM(D41:D70)</f>
        <v>1</v>
      </c>
      <c r="E71" s="150">
        <f>SUM(E41:E70)</f>
        <v>1</v>
      </c>
      <c r="F71" s="150">
        <f>SUM(F41:F70)</f>
        <v>1</v>
      </c>
      <c r="G71" s="150">
        <f>SUM(G41:G70)</f>
        <v>1</v>
      </c>
      <c r="H71" s="150">
        <f>SUM(H41:H70)</f>
        <v>1</v>
      </c>
      <c r="I71" s="150">
        <f>SUM(I41:I70)</f>
        <v>1</v>
      </c>
      <c r="J71" s="150">
        <f>SUM(J41:J70)</f>
        <v>1</v>
      </c>
      <c r="K71" s="150">
        <f>SUM(K41:K70)</f>
        <v>1</v>
      </c>
      <c r="L71" s="150">
        <f>SUM(L41:L70)</f>
        <v>1</v>
      </c>
      <c r="M71" s="150">
        <f>SUM(M41:M70)</f>
        <v>1</v>
      </c>
      <c r="N71" s="150">
        <f>SUM(N41:N70)</f>
        <v>1</v>
      </c>
      <c r="O71" s="150">
        <f>SUM(O41:O70)</f>
        <v>1</v>
      </c>
      <c r="P71" s="150">
        <f>SUM(P41:P70)</f>
        <v>1</v>
      </c>
      <c r="Q71" s="150">
        <f>SUM(Q41:Q70)</f>
        <v>1</v>
      </c>
      <c r="R71" s="150">
        <f>SUM(R41:R70)</f>
        <v>1</v>
      </c>
      <c r="S71" s="150">
        <f>SUM(S41:S70)</f>
        <v>1</v>
      </c>
      <c r="T71" s="150">
        <f>SUM(T41:T70)</f>
        <v>1</v>
      </c>
      <c r="U71" s="150">
        <f>SUM(U41:U70)</f>
        <v>1</v>
      </c>
      <c r="V71" s="150">
        <f>SUM(V41:V70)</f>
        <v>1</v>
      </c>
      <c r="W71" s="150">
        <f>SUM(W41:W70)</f>
        <v>1</v>
      </c>
      <c r="X71" s="150">
        <f>SUM(X41:X70)</f>
        <v>1</v>
      </c>
      <c r="Y71" s="150">
        <f>SUM(Y41:Y70)</f>
        <v>1</v>
      </c>
      <c r="Z71" s="150">
        <f>SUM(Z41:Z70)</f>
        <v>1</v>
      </c>
      <c r="AA71" s="151">
        <f>SUM(AA41:AA70)</f>
        <v>1</v>
      </c>
      <c r="AB71" s="158">
        <f>AB41+AB44+AB51+AB54+AB59+AB63+AB68</f>
        <v>1751.9999999999998</v>
      </c>
    </row>
    <row r="72" spans="3:31" ht="16.5" thickTop="1" thickBot="1" x14ac:dyDescent="0.4">
      <c r="AD72" t="s">
        <v>42</v>
      </c>
    </row>
    <row r="73" spans="3:31" ht="16.5" thickTop="1" thickBot="1" x14ac:dyDescent="0.4">
      <c r="C73" s="52" t="s">
        <v>49</v>
      </c>
      <c r="D73" s="402">
        <v>1</v>
      </c>
      <c r="E73" s="402"/>
      <c r="F73" s="402">
        <v>2</v>
      </c>
      <c r="G73" s="402"/>
      <c r="H73" s="402">
        <v>3</v>
      </c>
      <c r="I73" s="402"/>
      <c r="J73" s="402">
        <v>4</v>
      </c>
      <c r="K73" s="402"/>
      <c r="L73" s="402">
        <v>5</v>
      </c>
      <c r="M73" s="402"/>
      <c r="N73" s="402">
        <v>6</v>
      </c>
      <c r="O73" s="402"/>
      <c r="P73" s="402">
        <v>7</v>
      </c>
      <c r="Q73" s="402"/>
      <c r="R73" s="402">
        <v>8</v>
      </c>
      <c r="S73" s="402"/>
      <c r="T73" s="402">
        <v>9</v>
      </c>
      <c r="U73" s="402"/>
      <c r="V73" s="402">
        <v>10</v>
      </c>
      <c r="W73" s="402"/>
      <c r="X73" s="402">
        <v>11</v>
      </c>
      <c r="Y73" s="402"/>
      <c r="Z73" s="402">
        <v>12</v>
      </c>
      <c r="AA73" s="403"/>
      <c r="AB73" s="154" t="s">
        <v>45</v>
      </c>
    </row>
    <row r="74" spans="3:31" ht="16.5" thickTop="1" thickBot="1" x14ac:dyDescent="0.4">
      <c r="C74" s="38" t="s">
        <v>18</v>
      </c>
      <c r="D74" s="89"/>
      <c r="E74" s="90"/>
      <c r="F74" s="505"/>
      <c r="G74" s="506"/>
      <c r="H74" s="91"/>
      <c r="I74" s="92"/>
      <c r="J74" s="91"/>
      <c r="K74" s="92"/>
      <c r="L74" s="91"/>
      <c r="M74" s="92"/>
      <c r="N74" s="91"/>
      <c r="O74" s="92"/>
      <c r="P74" s="91"/>
      <c r="Q74" s="92"/>
      <c r="R74" s="91"/>
      <c r="S74" s="92"/>
      <c r="T74" s="91"/>
      <c r="U74" s="92"/>
      <c r="V74" s="91"/>
      <c r="W74" s="92"/>
      <c r="X74" s="91"/>
      <c r="Y74" s="92"/>
      <c r="Z74" s="91"/>
      <c r="AA74" s="93"/>
      <c r="AB74" s="155">
        <f>SUM(AB75:AB76)</f>
        <v>146</v>
      </c>
    </row>
    <row r="75" spans="3:31" ht="16" thickBot="1" x14ac:dyDescent="0.4">
      <c r="C75" s="44" t="s">
        <v>19</v>
      </c>
      <c r="D75" s="486">
        <v>1</v>
      </c>
      <c r="E75" s="487"/>
      <c r="F75" s="488"/>
      <c r="G75" s="487"/>
      <c r="H75" s="488"/>
      <c r="I75" s="487"/>
      <c r="J75" s="488"/>
      <c r="K75" s="487"/>
      <c r="L75" s="488"/>
      <c r="M75" s="487"/>
      <c r="N75" s="488"/>
      <c r="O75" s="487"/>
      <c r="P75" s="488"/>
      <c r="Q75" s="487"/>
      <c r="R75" s="488"/>
      <c r="S75" s="487"/>
      <c r="T75" s="488"/>
      <c r="U75" s="487"/>
      <c r="V75" s="488"/>
      <c r="W75" s="487"/>
      <c r="X75" s="488"/>
      <c r="Y75" s="487"/>
      <c r="Z75" s="488"/>
      <c r="AA75" s="489"/>
      <c r="AB75" s="156">
        <f>SUM(D75:AA75)*$B$37/2</f>
        <v>73</v>
      </c>
    </row>
    <row r="76" spans="3:31" ht="16" thickBot="1" x14ac:dyDescent="0.4">
      <c r="C76" s="46" t="s">
        <v>20</v>
      </c>
      <c r="D76" s="490"/>
      <c r="E76" s="491">
        <v>1</v>
      </c>
      <c r="F76" s="492"/>
      <c r="G76" s="493"/>
      <c r="H76" s="490"/>
      <c r="I76" s="494"/>
      <c r="J76" s="490"/>
      <c r="K76" s="494"/>
      <c r="L76" s="490"/>
      <c r="M76" s="494"/>
      <c r="N76" s="490"/>
      <c r="O76" s="494"/>
      <c r="P76" s="490"/>
      <c r="Q76" s="494"/>
      <c r="R76" s="490"/>
      <c r="S76" s="494"/>
      <c r="T76" s="490"/>
      <c r="U76" s="494"/>
      <c r="V76" s="490"/>
      <c r="W76" s="494"/>
      <c r="X76" s="490"/>
      <c r="Y76" s="494"/>
      <c r="Z76" s="490"/>
      <c r="AA76" s="495"/>
      <c r="AB76" s="157">
        <f>SUM(D76:AA76)*$B$37/2</f>
        <v>73</v>
      </c>
    </row>
    <row r="77" spans="3:31" ht="16.5" thickTop="1" thickBot="1" x14ac:dyDescent="0.4">
      <c r="C77" s="53" t="s">
        <v>141</v>
      </c>
      <c r="D77" s="91"/>
      <c r="E77" s="92"/>
      <c r="F77" s="94"/>
      <c r="G77" s="95"/>
      <c r="H77" s="94"/>
      <c r="I77" s="95"/>
      <c r="J77" s="94"/>
      <c r="K77" s="95"/>
      <c r="L77" s="94"/>
      <c r="M77" s="95"/>
      <c r="N77" s="94"/>
      <c r="O77" s="95"/>
      <c r="P77" s="94"/>
      <c r="Q77" s="95"/>
      <c r="R77" s="94"/>
      <c r="S77" s="95"/>
      <c r="T77" s="94"/>
      <c r="U77" s="95"/>
      <c r="V77" s="94"/>
      <c r="W77" s="95"/>
      <c r="X77" s="91"/>
      <c r="Y77" s="92"/>
      <c r="Z77" s="91"/>
      <c r="AA77" s="93"/>
      <c r="AB77" s="155">
        <f>SUM(AB78:AB83)</f>
        <v>627.79999999999995</v>
      </c>
    </row>
    <row r="78" spans="3:31" ht="16" thickBot="1" x14ac:dyDescent="0.4">
      <c r="C78" s="56" t="s">
        <v>142</v>
      </c>
      <c r="D78" s="488"/>
      <c r="E78" s="487"/>
      <c r="F78" s="496">
        <v>0.5</v>
      </c>
      <c r="G78" s="497">
        <v>0.5</v>
      </c>
      <c r="H78" s="498"/>
      <c r="I78" s="499"/>
      <c r="J78" s="498"/>
      <c r="K78" s="499"/>
      <c r="L78" s="498"/>
      <c r="M78" s="499"/>
      <c r="N78" s="498"/>
      <c r="O78" s="499"/>
      <c r="P78" s="498"/>
      <c r="Q78" s="499"/>
      <c r="R78" s="498"/>
      <c r="S78" s="499"/>
      <c r="T78" s="498"/>
      <c r="U78" s="499"/>
      <c r="V78" s="498"/>
      <c r="W78" s="499"/>
      <c r="X78" s="488"/>
      <c r="Y78" s="487"/>
      <c r="Z78" s="488"/>
      <c r="AA78" s="489"/>
      <c r="AB78" s="156">
        <f>SUM(D78:AA78)*$B$37/2</f>
        <v>73</v>
      </c>
    </row>
    <row r="79" spans="3:31" ht="16" thickBot="1" x14ac:dyDescent="0.4">
      <c r="C79" s="56" t="s">
        <v>143</v>
      </c>
      <c r="D79" s="488"/>
      <c r="E79" s="487"/>
      <c r="F79" s="488"/>
      <c r="G79" s="487"/>
      <c r="H79" s="497">
        <v>0.4</v>
      </c>
      <c r="I79" s="497">
        <v>0.4</v>
      </c>
      <c r="J79" s="497">
        <v>0.4</v>
      </c>
      <c r="K79" s="497">
        <v>0.4</v>
      </c>
      <c r="L79" s="498"/>
      <c r="M79" s="499"/>
      <c r="N79" s="498"/>
      <c r="O79" s="499"/>
      <c r="P79" s="498"/>
      <c r="Q79" s="499"/>
      <c r="R79" s="498"/>
      <c r="S79" s="499"/>
      <c r="T79" s="498"/>
      <c r="U79" s="499"/>
      <c r="V79" s="498"/>
      <c r="W79" s="499"/>
      <c r="X79" s="488"/>
      <c r="Y79" s="487"/>
      <c r="Z79" s="488"/>
      <c r="AA79" s="489"/>
      <c r="AB79" s="156">
        <f t="shared" ref="AB79:AB80" si="0">SUM(D79:AA79)*$B$37/2</f>
        <v>116.80000000000001</v>
      </c>
    </row>
    <row r="80" spans="3:31" ht="16" thickBot="1" x14ac:dyDescent="0.4">
      <c r="C80" s="56" t="s">
        <v>144</v>
      </c>
      <c r="D80" s="488"/>
      <c r="E80" s="487"/>
      <c r="F80" s="488"/>
      <c r="G80" s="487"/>
      <c r="H80" s="498"/>
      <c r="I80" s="499"/>
      <c r="J80" s="498"/>
      <c r="K80" s="499"/>
      <c r="L80" s="546">
        <v>0.5</v>
      </c>
      <c r="M80" s="497">
        <v>0.5</v>
      </c>
      <c r="N80" s="497">
        <v>0.5</v>
      </c>
      <c r="O80" s="497">
        <v>0.5</v>
      </c>
      <c r="P80" s="497">
        <v>0.5</v>
      </c>
      <c r="Q80" s="497">
        <v>0.5</v>
      </c>
      <c r="R80" s="498"/>
      <c r="S80" s="499"/>
      <c r="T80" s="498"/>
      <c r="U80" s="499"/>
      <c r="V80" s="498"/>
      <c r="W80" s="499"/>
      <c r="X80" s="488"/>
      <c r="Y80" s="487"/>
      <c r="Z80" s="488"/>
      <c r="AA80" s="489"/>
      <c r="AB80" s="156">
        <f t="shared" si="0"/>
        <v>219</v>
      </c>
    </row>
    <row r="81" spans="3:28" ht="16" thickBot="1" x14ac:dyDescent="0.4">
      <c r="C81" s="423" t="s">
        <v>145</v>
      </c>
      <c r="D81" s="500"/>
      <c r="E81" s="501"/>
      <c r="F81" s="500"/>
      <c r="G81" s="501"/>
      <c r="H81" s="502"/>
      <c r="I81" s="503"/>
      <c r="J81" s="502"/>
      <c r="K81" s="503"/>
      <c r="L81" s="502"/>
      <c r="M81" s="503"/>
      <c r="N81" s="502"/>
      <c r="O81" s="503"/>
      <c r="P81" s="502"/>
      <c r="Q81" s="503"/>
      <c r="R81" s="497">
        <v>0.5</v>
      </c>
      <c r="S81" s="497">
        <v>0.5</v>
      </c>
      <c r="T81" s="502"/>
      <c r="U81" s="503"/>
      <c r="V81" s="502"/>
      <c r="W81" s="503"/>
      <c r="X81" s="500"/>
      <c r="Y81" s="501"/>
      <c r="Z81" s="500"/>
      <c r="AA81" s="504"/>
      <c r="AB81" s="156">
        <f>SUM(D81:AA81)*$B$37/2</f>
        <v>73</v>
      </c>
    </row>
    <row r="82" spans="3:28" ht="16" thickBot="1" x14ac:dyDescent="0.4">
      <c r="C82" s="423" t="s">
        <v>146</v>
      </c>
      <c r="D82" s="500"/>
      <c r="E82" s="501"/>
      <c r="F82" s="500"/>
      <c r="G82" s="501"/>
      <c r="H82" s="502"/>
      <c r="I82" s="503"/>
      <c r="J82" s="502"/>
      <c r="K82" s="503"/>
      <c r="L82" s="502"/>
      <c r="M82" s="503"/>
      <c r="N82" s="502"/>
      <c r="O82" s="503"/>
      <c r="P82" s="502"/>
      <c r="Q82" s="503"/>
      <c r="R82" s="502"/>
      <c r="S82" s="503"/>
      <c r="T82" s="497">
        <v>0.5</v>
      </c>
      <c r="U82" s="497">
        <v>0.5</v>
      </c>
      <c r="V82" s="502"/>
      <c r="W82" s="503"/>
      <c r="X82" s="500"/>
      <c r="Y82" s="501"/>
      <c r="Z82" s="500"/>
      <c r="AA82" s="504"/>
      <c r="AB82" s="156">
        <f>SUM(D82:AA82)*$B$37/2</f>
        <v>73</v>
      </c>
    </row>
    <row r="83" spans="3:28" ht="16" thickBot="1" x14ac:dyDescent="0.4">
      <c r="C83" s="57" t="s">
        <v>147</v>
      </c>
      <c r="D83" s="490"/>
      <c r="E83" s="494"/>
      <c r="F83" s="490"/>
      <c r="G83" s="494"/>
      <c r="H83" s="492"/>
      <c r="I83" s="493"/>
      <c r="J83" s="492"/>
      <c r="K83" s="493"/>
      <c r="L83" s="492"/>
      <c r="M83" s="493"/>
      <c r="N83" s="492"/>
      <c r="O83" s="493"/>
      <c r="P83" s="492"/>
      <c r="Q83" s="493"/>
      <c r="R83" s="492"/>
      <c r="S83" s="493"/>
      <c r="T83" s="492"/>
      <c r="U83" s="493"/>
      <c r="V83" s="497">
        <v>0.5</v>
      </c>
      <c r="W83" s="497">
        <v>0.5</v>
      </c>
      <c r="X83" s="490"/>
      <c r="Y83" s="494"/>
      <c r="Z83" s="490"/>
      <c r="AA83" s="495"/>
      <c r="AB83" s="157">
        <f>SUM(D83:AA83)*$B$37/2</f>
        <v>73</v>
      </c>
    </row>
    <row r="84" spans="3:28" ht="16.5" thickTop="1" thickBot="1" x14ac:dyDescent="0.4">
      <c r="C84" s="428" t="s">
        <v>148</v>
      </c>
      <c r="D84" s="91"/>
      <c r="E84" s="92"/>
      <c r="F84" s="505"/>
      <c r="G84" s="506"/>
      <c r="H84" s="505"/>
      <c r="I84" s="506"/>
      <c r="J84" s="505"/>
      <c r="K84" s="506"/>
      <c r="L84" s="505"/>
      <c r="M84" s="506"/>
      <c r="N84" s="505"/>
      <c r="O84" s="506"/>
      <c r="P84" s="505"/>
      <c r="Q84" s="506"/>
      <c r="R84" s="505"/>
      <c r="S84" s="506"/>
      <c r="T84" s="507"/>
      <c r="U84" s="508"/>
      <c r="V84" s="507"/>
      <c r="W84" s="508"/>
      <c r="X84" s="91"/>
      <c r="Y84" s="92"/>
      <c r="Z84" s="91"/>
      <c r="AA84" s="93"/>
      <c r="AB84" s="155">
        <f>SUM(AB85:AB86)</f>
        <v>80.3</v>
      </c>
    </row>
    <row r="85" spans="3:28" ht="16" thickBot="1" x14ac:dyDescent="0.4">
      <c r="C85" s="427" t="s">
        <v>149</v>
      </c>
      <c r="D85" s="488"/>
      <c r="E85" s="487"/>
      <c r="F85" s="498"/>
      <c r="G85" s="499"/>
      <c r="H85" s="498"/>
      <c r="I85" s="499"/>
      <c r="J85" s="498"/>
      <c r="K85" s="499"/>
      <c r="L85" s="498"/>
      <c r="M85" s="499"/>
      <c r="N85" s="498"/>
      <c r="O85" s="499"/>
      <c r="P85" s="498"/>
      <c r="Q85" s="499"/>
      <c r="R85" s="498"/>
      <c r="S85" s="499"/>
      <c r="T85" s="509">
        <v>0.35</v>
      </c>
      <c r="U85" s="510">
        <v>0.25</v>
      </c>
      <c r="V85" s="509">
        <v>0.25</v>
      </c>
      <c r="W85" s="487"/>
      <c r="X85" s="488"/>
      <c r="Y85" s="487"/>
      <c r="Z85" s="488"/>
      <c r="AA85" s="489"/>
      <c r="AB85" s="156">
        <f>SUM(D85:AA85)*$B$37/2</f>
        <v>62.05</v>
      </c>
    </row>
    <row r="86" spans="3:28" ht="16" thickBot="1" x14ac:dyDescent="0.4">
      <c r="C86" s="427" t="s">
        <v>150</v>
      </c>
      <c r="D86" s="488"/>
      <c r="E86" s="487"/>
      <c r="F86" s="498"/>
      <c r="G86" s="499"/>
      <c r="H86" s="498"/>
      <c r="I86" s="499"/>
      <c r="J86" s="498"/>
      <c r="K86" s="499"/>
      <c r="L86" s="498"/>
      <c r="M86" s="499"/>
      <c r="N86" s="498"/>
      <c r="O86" s="499"/>
      <c r="P86" s="498"/>
      <c r="Q86" s="499"/>
      <c r="R86" s="498"/>
      <c r="S86" s="499"/>
      <c r="T86" s="488"/>
      <c r="U86" s="487"/>
      <c r="V86" s="488"/>
      <c r="W86" s="510">
        <v>0.25</v>
      </c>
      <c r="X86" s="488"/>
      <c r="Y86" s="487"/>
      <c r="Z86" s="488"/>
      <c r="AA86" s="489"/>
      <c r="AB86" s="157">
        <f>SUM(D86:AA86)*$B$37/2</f>
        <v>18.25</v>
      </c>
    </row>
    <row r="87" spans="3:28" ht="16.5" thickTop="1" thickBot="1" x14ac:dyDescent="0.4">
      <c r="C87" s="447" t="s">
        <v>151</v>
      </c>
      <c r="D87" s="91"/>
      <c r="E87" s="92"/>
      <c r="F87" s="511"/>
      <c r="G87" s="512"/>
      <c r="H87" s="511"/>
      <c r="I87" s="512"/>
      <c r="J87" s="511"/>
      <c r="K87" s="512"/>
      <c r="L87" s="511"/>
      <c r="M87" s="512"/>
      <c r="N87" s="511"/>
      <c r="O87" s="512"/>
      <c r="P87" s="511"/>
      <c r="Q87" s="506"/>
      <c r="R87" s="505"/>
      <c r="S87" s="506"/>
      <c r="T87" s="505"/>
      <c r="U87" s="506"/>
      <c r="V87" s="505"/>
      <c r="W87" s="506"/>
      <c r="X87" s="91"/>
      <c r="Y87" s="92"/>
      <c r="Z87" s="91"/>
      <c r="AA87" s="93"/>
      <c r="AB87" s="155">
        <f>SUM(AB88:AB91)</f>
        <v>189.8</v>
      </c>
    </row>
    <row r="88" spans="3:28" ht="16" thickBot="1" x14ac:dyDescent="0.4">
      <c r="C88" s="80" t="s">
        <v>152</v>
      </c>
      <c r="D88" s="513"/>
      <c r="E88" s="514"/>
      <c r="F88" s="515">
        <v>0.2</v>
      </c>
      <c r="G88" s="517"/>
      <c r="H88" s="516"/>
      <c r="I88" s="517"/>
      <c r="J88" s="516"/>
      <c r="K88" s="517"/>
      <c r="L88" s="516"/>
      <c r="M88" s="517"/>
      <c r="N88" s="516"/>
      <c r="O88" s="517"/>
      <c r="P88" s="516"/>
      <c r="Q88" s="517"/>
      <c r="R88" s="516"/>
      <c r="S88" s="517"/>
      <c r="T88" s="516"/>
      <c r="U88" s="517"/>
      <c r="V88" s="516"/>
      <c r="W88" s="517"/>
      <c r="X88" s="513"/>
      <c r="Y88" s="514"/>
      <c r="Z88" s="513"/>
      <c r="AA88" s="518"/>
      <c r="AB88" s="156">
        <f>SUM(D88:AA88)*$B$37/2</f>
        <v>14.600000000000001</v>
      </c>
    </row>
    <row r="89" spans="3:28" ht="16" thickBot="1" x14ac:dyDescent="0.4">
      <c r="C89" s="80" t="s">
        <v>153</v>
      </c>
      <c r="D89" s="513"/>
      <c r="E89" s="514"/>
      <c r="F89" s="516"/>
      <c r="G89" s="519">
        <v>0.3</v>
      </c>
      <c r="H89" s="519">
        <v>0.3</v>
      </c>
      <c r="I89" s="519">
        <v>0.3</v>
      </c>
      <c r="J89" s="519">
        <v>0.3</v>
      </c>
      <c r="K89" s="519">
        <v>0.3</v>
      </c>
      <c r="L89" s="516"/>
      <c r="M89" s="517"/>
      <c r="N89" s="516"/>
      <c r="O89" s="517"/>
      <c r="P89" s="516"/>
      <c r="Q89" s="517"/>
      <c r="R89" s="516"/>
      <c r="S89" s="517"/>
      <c r="T89" s="516"/>
      <c r="U89" s="517"/>
      <c r="V89" s="516"/>
      <c r="W89" s="517"/>
      <c r="X89" s="513"/>
      <c r="Y89" s="514"/>
      <c r="Z89" s="513"/>
      <c r="AA89" s="518"/>
      <c r="AB89" s="156">
        <f>SUM(D89:AA89)*$B$37/2</f>
        <v>109.5</v>
      </c>
    </row>
    <row r="90" spans="3:28" ht="16" thickBot="1" x14ac:dyDescent="0.4">
      <c r="C90" s="80" t="s">
        <v>163</v>
      </c>
      <c r="D90" s="513"/>
      <c r="E90" s="514"/>
      <c r="F90" s="516"/>
      <c r="G90" s="517"/>
      <c r="H90" s="516"/>
      <c r="I90" s="517"/>
      <c r="J90" s="516"/>
      <c r="K90" s="517"/>
      <c r="L90" s="515">
        <v>0.2</v>
      </c>
      <c r="M90" s="515">
        <v>0.2</v>
      </c>
      <c r="N90" s="515">
        <v>0.2</v>
      </c>
      <c r="O90" s="515">
        <v>0.2</v>
      </c>
      <c r="P90" s="516"/>
      <c r="Q90" s="517"/>
      <c r="R90" s="516"/>
      <c r="S90" s="517"/>
      <c r="T90" s="516"/>
      <c r="U90" s="517"/>
      <c r="V90" s="516"/>
      <c r="W90" s="517"/>
      <c r="X90" s="513"/>
      <c r="Y90" s="514"/>
      <c r="Z90" s="513"/>
      <c r="AA90" s="518"/>
      <c r="AB90" s="156">
        <f>SUM(D90:AA90)*$B$37/2</f>
        <v>58.400000000000006</v>
      </c>
    </row>
    <row r="91" spans="3:28" ht="16" thickBot="1" x14ac:dyDescent="0.4">
      <c r="C91" s="82" t="s">
        <v>164</v>
      </c>
      <c r="D91" s="520"/>
      <c r="E91" s="521"/>
      <c r="F91" s="522"/>
      <c r="G91" s="523"/>
      <c r="H91" s="522"/>
      <c r="I91" s="523"/>
      <c r="J91" s="522"/>
      <c r="K91" s="523"/>
      <c r="L91" s="522"/>
      <c r="M91" s="523"/>
      <c r="N91" s="522"/>
      <c r="O91" s="523"/>
      <c r="P91" s="545">
        <v>0.1</v>
      </c>
      <c r="Q91" s="523"/>
      <c r="R91" s="522"/>
      <c r="S91" s="523"/>
      <c r="T91" s="522"/>
      <c r="U91" s="523"/>
      <c r="V91" s="522"/>
      <c r="W91" s="523"/>
      <c r="X91" s="520"/>
      <c r="Y91" s="521"/>
      <c r="Z91" s="520"/>
      <c r="AA91" s="524"/>
      <c r="AB91" s="157">
        <f>SUM(D91:AA91)*$B$37/2</f>
        <v>7.3000000000000007</v>
      </c>
    </row>
    <row r="92" spans="3:28" ht="16.5" thickTop="1" thickBot="1" x14ac:dyDescent="0.4">
      <c r="C92" s="459" t="s">
        <v>154</v>
      </c>
      <c r="D92" s="525"/>
      <c r="E92" s="526"/>
      <c r="F92" s="525"/>
      <c r="G92" s="526"/>
      <c r="H92" s="525"/>
      <c r="I92" s="526"/>
      <c r="J92" s="525"/>
      <c r="K92" s="526"/>
      <c r="L92" s="527"/>
      <c r="M92" s="528"/>
      <c r="N92" s="527"/>
      <c r="O92" s="528"/>
      <c r="P92" s="527"/>
      <c r="Q92" s="530"/>
      <c r="R92" s="529"/>
      <c r="S92" s="530"/>
      <c r="T92" s="529"/>
      <c r="U92" s="530"/>
      <c r="V92" s="529"/>
      <c r="W92" s="530"/>
      <c r="X92" s="525"/>
      <c r="Y92" s="526"/>
      <c r="Z92" s="525"/>
      <c r="AA92" s="531"/>
      <c r="AB92" s="155">
        <f>SUM(AB93:AB95)</f>
        <v>116.80000000000001</v>
      </c>
    </row>
    <row r="93" spans="3:28" ht="16" thickBot="1" x14ac:dyDescent="0.4">
      <c r="C93" s="460" t="s">
        <v>155</v>
      </c>
      <c r="D93" s="500"/>
      <c r="E93" s="501"/>
      <c r="F93" s="500"/>
      <c r="G93" s="501"/>
      <c r="H93" s="500"/>
      <c r="I93" s="501"/>
      <c r="J93" s="500"/>
      <c r="K93" s="501"/>
      <c r="L93" s="502"/>
      <c r="M93" s="503"/>
      <c r="N93" s="502"/>
      <c r="O93" s="503"/>
      <c r="P93" s="502"/>
      <c r="Q93" s="533">
        <v>0.2</v>
      </c>
      <c r="R93" s="502"/>
      <c r="S93" s="503"/>
      <c r="T93" s="502"/>
      <c r="U93" s="503"/>
      <c r="V93" s="502"/>
      <c r="W93" s="503"/>
      <c r="X93" s="500"/>
      <c r="Y93" s="501"/>
      <c r="Z93" s="500"/>
      <c r="AA93" s="504"/>
      <c r="AB93" s="156">
        <f>SUM(D93:AA93)*$B$37/2</f>
        <v>14.600000000000001</v>
      </c>
    </row>
    <row r="94" spans="3:28" ht="16" thickBot="1" x14ac:dyDescent="0.4">
      <c r="C94" s="460" t="s">
        <v>156</v>
      </c>
      <c r="D94" s="500"/>
      <c r="E94" s="501"/>
      <c r="F94" s="500"/>
      <c r="G94" s="501"/>
      <c r="H94" s="500"/>
      <c r="I94" s="501"/>
      <c r="J94" s="500"/>
      <c r="K94" s="501"/>
      <c r="L94" s="502"/>
      <c r="M94" s="503"/>
      <c r="N94" s="502"/>
      <c r="O94" s="503"/>
      <c r="P94" s="502"/>
      <c r="Q94" s="503"/>
      <c r="R94" s="532">
        <v>0.25</v>
      </c>
      <c r="S94" s="533">
        <v>0.25</v>
      </c>
      <c r="T94" s="532">
        <v>0.15</v>
      </c>
      <c r="U94" s="503"/>
      <c r="V94" s="502"/>
      <c r="W94" s="503"/>
      <c r="X94" s="500"/>
      <c r="Y94" s="501"/>
      <c r="Z94" s="500"/>
      <c r="AA94" s="504"/>
      <c r="AB94" s="156">
        <f>SUM(D94:AA94)*$B$37/2</f>
        <v>47.45</v>
      </c>
    </row>
    <row r="95" spans="3:28" ht="16" thickBot="1" x14ac:dyDescent="0.4">
      <c r="C95" s="461" t="s">
        <v>157</v>
      </c>
      <c r="D95" s="490"/>
      <c r="E95" s="494"/>
      <c r="F95" s="490"/>
      <c r="G95" s="494"/>
      <c r="H95" s="490"/>
      <c r="I95" s="494"/>
      <c r="J95" s="490"/>
      <c r="K95" s="494"/>
      <c r="L95" s="492"/>
      <c r="M95" s="493"/>
      <c r="N95" s="492"/>
      <c r="O95" s="493"/>
      <c r="P95" s="492"/>
      <c r="Q95" s="493"/>
      <c r="R95" s="492"/>
      <c r="S95" s="493"/>
      <c r="T95" s="492"/>
      <c r="U95" s="535">
        <v>0.25</v>
      </c>
      <c r="V95" s="534">
        <v>0.25</v>
      </c>
      <c r="W95" s="535">
        <v>0.25</v>
      </c>
      <c r="X95" s="490"/>
      <c r="Y95" s="494"/>
      <c r="Z95" s="490"/>
      <c r="AA95" s="495"/>
      <c r="AB95" s="157">
        <f>SUM(D95:AA95)*$B$37/2</f>
        <v>54.75</v>
      </c>
    </row>
    <row r="96" spans="3:28" ht="16.5" thickTop="1" thickBot="1" x14ac:dyDescent="0.4">
      <c r="C96" s="458" t="s">
        <v>158</v>
      </c>
      <c r="D96" s="525"/>
      <c r="E96" s="526"/>
      <c r="F96" s="536"/>
      <c r="G96" s="537"/>
      <c r="H96" s="536"/>
      <c r="I96" s="537"/>
      <c r="J96" s="536"/>
      <c r="K96" s="537"/>
      <c r="L96" s="536"/>
      <c r="M96" s="537"/>
      <c r="N96" s="536"/>
      <c r="O96" s="537"/>
      <c r="P96" s="536"/>
      <c r="Q96" s="537"/>
      <c r="R96" s="536"/>
      <c r="S96" s="537"/>
      <c r="T96" s="527"/>
      <c r="U96" s="528"/>
      <c r="V96" s="527"/>
      <c r="W96" s="528"/>
      <c r="X96" s="525"/>
      <c r="Y96" s="526"/>
      <c r="Z96" s="525"/>
      <c r="AA96" s="531"/>
      <c r="AB96" s="155">
        <f>SUM(AB97:AB100)</f>
        <v>299.29999999999995</v>
      </c>
    </row>
    <row r="97" spans="3:31" ht="16" thickBot="1" x14ac:dyDescent="0.4">
      <c r="C97" s="456" t="s">
        <v>159</v>
      </c>
      <c r="D97" s="500"/>
      <c r="E97" s="501"/>
      <c r="F97" s="538">
        <v>0.3</v>
      </c>
      <c r="G97" s="539">
        <v>0.2</v>
      </c>
      <c r="H97" s="502"/>
      <c r="I97" s="503"/>
      <c r="J97" s="502"/>
      <c r="K97" s="503"/>
      <c r="L97" s="502"/>
      <c r="M97" s="503"/>
      <c r="N97" s="502"/>
      <c r="O97" s="503"/>
      <c r="P97" s="502"/>
      <c r="Q97" s="503"/>
      <c r="R97" s="502"/>
      <c r="S97" s="503"/>
      <c r="T97" s="500"/>
      <c r="U97" s="501"/>
      <c r="V97" s="500"/>
      <c r="W97" s="501"/>
      <c r="X97" s="500"/>
      <c r="Y97" s="501"/>
      <c r="Z97" s="500"/>
      <c r="AA97" s="504"/>
      <c r="AB97" s="156">
        <f>SUM(D97:AA97)*$B$37/2</f>
        <v>36.5</v>
      </c>
    </row>
    <row r="98" spans="3:31" ht="16" thickBot="1" x14ac:dyDescent="0.4">
      <c r="C98" s="456" t="s">
        <v>160</v>
      </c>
      <c r="D98" s="500"/>
      <c r="E98" s="501"/>
      <c r="F98" s="502"/>
      <c r="G98" s="503"/>
      <c r="H98" s="539">
        <v>0.3</v>
      </c>
      <c r="I98" s="539">
        <v>0.3</v>
      </c>
      <c r="J98" s="539">
        <v>0.3</v>
      </c>
      <c r="K98" s="503"/>
      <c r="L98" s="502"/>
      <c r="M98" s="503"/>
      <c r="N98" s="502"/>
      <c r="O98" s="503"/>
      <c r="P98" s="502"/>
      <c r="Q98" s="503"/>
      <c r="R98" s="502"/>
      <c r="S98" s="503"/>
      <c r="T98" s="500"/>
      <c r="U98" s="501"/>
      <c r="V98" s="500"/>
      <c r="W98" s="501"/>
      <c r="X98" s="500"/>
      <c r="Y98" s="501"/>
      <c r="Z98" s="500"/>
      <c r="AA98" s="504"/>
      <c r="AB98" s="156">
        <f>SUM(D98:AA98)*$B$37/2</f>
        <v>65.699999999999989</v>
      </c>
    </row>
    <row r="99" spans="3:31" ht="16" thickBot="1" x14ac:dyDescent="0.4">
      <c r="C99" s="456" t="s">
        <v>161</v>
      </c>
      <c r="D99" s="500"/>
      <c r="E99" s="501"/>
      <c r="F99" s="502"/>
      <c r="G99" s="503"/>
      <c r="H99" s="502"/>
      <c r="I99" s="503"/>
      <c r="J99" s="502"/>
      <c r="K99" s="539">
        <v>0.3</v>
      </c>
      <c r="L99" s="538">
        <v>0.3</v>
      </c>
      <c r="M99" s="538">
        <v>0.3</v>
      </c>
      <c r="N99" s="538">
        <v>0.3</v>
      </c>
      <c r="O99" s="538">
        <v>0.3</v>
      </c>
      <c r="P99" s="502"/>
      <c r="Q99" s="503"/>
      <c r="R99" s="502"/>
      <c r="S99" s="503"/>
      <c r="T99" s="500"/>
      <c r="U99" s="501"/>
      <c r="V99" s="500"/>
      <c r="W99" s="501"/>
      <c r="X99" s="500"/>
      <c r="Y99" s="501"/>
      <c r="Z99" s="500"/>
      <c r="AA99" s="504"/>
      <c r="AB99" s="156">
        <f>SUM(D99:AA99)*$B$37/2</f>
        <v>109.5</v>
      </c>
    </row>
    <row r="100" spans="3:31" ht="16" thickBot="1" x14ac:dyDescent="0.4">
      <c r="C100" s="457" t="s">
        <v>162</v>
      </c>
      <c r="D100" s="490"/>
      <c r="E100" s="494"/>
      <c r="F100" s="492"/>
      <c r="G100" s="493"/>
      <c r="H100" s="492"/>
      <c r="I100" s="493"/>
      <c r="J100" s="492"/>
      <c r="K100" s="493"/>
      <c r="L100" s="492"/>
      <c r="M100" s="493"/>
      <c r="N100" s="492"/>
      <c r="O100" s="493"/>
      <c r="P100" s="540">
        <v>0.4</v>
      </c>
      <c r="Q100" s="541">
        <v>0.3</v>
      </c>
      <c r="R100" s="540">
        <v>0.25</v>
      </c>
      <c r="S100" s="541">
        <v>0.25</v>
      </c>
      <c r="T100" s="492"/>
      <c r="U100" s="493"/>
      <c r="V100" s="492"/>
      <c r="W100" s="493"/>
      <c r="X100" s="490"/>
      <c r="Y100" s="494"/>
      <c r="Z100" s="490"/>
      <c r="AA100" s="495"/>
      <c r="AB100" s="157">
        <f>SUM(D100:AA100)*$B$37/2</f>
        <v>87.6</v>
      </c>
    </row>
    <row r="101" spans="3:31" ht="16.5" thickTop="1" thickBot="1" x14ac:dyDescent="0.4">
      <c r="C101" s="38" t="s">
        <v>33</v>
      </c>
      <c r="D101" s="91"/>
      <c r="E101" s="92"/>
      <c r="F101" s="91"/>
      <c r="G101" s="92"/>
      <c r="H101" s="91"/>
      <c r="I101" s="92"/>
      <c r="J101" s="91"/>
      <c r="K101" s="92"/>
      <c r="L101" s="91"/>
      <c r="M101" s="92"/>
      <c r="N101" s="91"/>
      <c r="O101" s="92"/>
      <c r="P101" s="91"/>
      <c r="Q101" s="92"/>
      <c r="R101" s="91"/>
      <c r="S101" s="92"/>
      <c r="T101" s="91"/>
      <c r="U101" s="92"/>
      <c r="V101" s="91"/>
      <c r="W101" s="92"/>
      <c r="X101" s="89"/>
      <c r="Y101" s="90"/>
      <c r="Z101" s="89"/>
      <c r="AA101" s="98"/>
      <c r="AB101" s="155">
        <f>SUM(AB102:AB103)</f>
        <v>292</v>
      </c>
    </row>
    <row r="102" spans="3:31" ht="16" thickBot="1" x14ac:dyDescent="0.4">
      <c r="C102" s="44" t="s">
        <v>34</v>
      </c>
      <c r="D102" s="488"/>
      <c r="E102" s="487"/>
      <c r="F102" s="488"/>
      <c r="G102" s="487"/>
      <c r="H102" s="488"/>
      <c r="I102" s="487"/>
      <c r="J102" s="488"/>
      <c r="K102" s="487"/>
      <c r="L102" s="488"/>
      <c r="M102" s="487"/>
      <c r="N102" s="488"/>
      <c r="O102" s="487"/>
      <c r="P102" s="488"/>
      <c r="Q102" s="487"/>
      <c r="R102" s="488"/>
      <c r="S102" s="487"/>
      <c r="T102" s="488"/>
      <c r="U102" s="487"/>
      <c r="V102" s="488"/>
      <c r="W102" s="487"/>
      <c r="X102" s="486">
        <v>1</v>
      </c>
      <c r="Y102" s="542">
        <v>1</v>
      </c>
      <c r="Z102" s="498"/>
      <c r="AA102" s="489"/>
      <c r="AB102" s="156">
        <f>SUM(D102:AA102)*$B$37/2</f>
        <v>146</v>
      </c>
    </row>
    <row r="103" spans="3:31" ht="16" thickBot="1" x14ac:dyDescent="0.4">
      <c r="C103" s="46" t="s">
        <v>35</v>
      </c>
      <c r="D103" s="490"/>
      <c r="E103" s="494"/>
      <c r="F103" s="490"/>
      <c r="G103" s="494"/>
      <c r="H103" s="490"/>
      <c r="I103" s="494"/>
      <c r="J103" s="490"/>
      <c r="K103" s="494"/>
      <c r="L103" s="490"/>
      <c r="M103" s="494"/>
      <c r="N103" s="490"/>
      <c r="O103" s="494"/>
      <c r="P103" s="490"/>
      <c r="Q103" s="494"/>
      <c r="R103" s="490"/>
      <c r="S103" s="494"/>
      <c r="T103" s="490"/>
      <c r="U103" s="494"/>
      <c r="V103" s="490"/>
      <c r="W103" s="494"/>
      <c r="X103" s="490"/>
      <c r="Y103" s="494"/>
      <c r="Z103" s="543">
        <v>1</v>
      </c>
      <c r="AA103" s="544">
        <v>1</v>
      </c>
      <c r="AB103" s="157">
        <f>SUM(D103:AA103)*$B$37/2</f>
        <v>146</v>
      </c>
      <c r="AE103" t="s">
        <v>42</v>
      </c>
    </row>
    <row r="104" spans="3:31" ht="16.5" thickTop="1" thickBot="1" x14ac:dyDescent="0.4">
      <c r="C104" s="148" t="s">
        <v>9</v>
      </c>
      <c r="D104" s="149">
        <f>SUM(D74:D103)</f>
        <v>1</v>
      </c>
      <c r="E104" s="150">
        <f>SUM(E74:E103)</f>
        <v>1</v>
      </c>
      <c r="F104" s="150">
        <f>SUM(F74:F103)</f>
        <v>1</v>
      </c>
      <c r="G104" s="150">
        <f>SUM(G74:G103)</f>
        <v>1</v>
      </c>
      <c r="H104" s="150">
        <f>SUM(H74:H103)</f>
        <v>1</v>
      </c>
      <c r="I104" s="150">
        <f>SUM(I74:I103)</f>
        <v>1</v>
      </c>
      <c r="J104" s="150">
        <f>SUM(J74:J103)</f>
        <v>1</v>
      </c>
      <c r="K104" s="150">
        <f>SUM(K74:K103)</f>
        <v>1</v>
      </c>
      <c r="L104" s="150">
        <f>SUM(L74:L103)</f>
        <v>1</v>
      </c>
      <c r="M104" s="150">
        <f>SUM(M74:M103)</f>
        <v>1</v>
      </c>
      <c r="N104" s="150">
        <f>SUM(N74:N103)</f>
        <v>1</v>
      </c>
      <c r="O104" s="150">
        <f>SUM(O74:O103)</f>
        <v>1</v>
      </c>
      <c r="P104" s="150">
        <f>SUM(P74:P103)</f>
        <v>1</v>
      </c>
      <c r="Q104" s="150">
        <f>SUM(Q74:Q103)</f>
        <v>1</v>
      </c>
      <c r="R104" s="150">
        <f>SUM(R74:R103)</f>
        <v>1</v>
      </c>
      <c r="S104" s="150">
        <f>SUM(S74:S103)</f>
        <v>1</v>
      </c>
      <c r="T104" s="150">
        <f>SUM(T74:T103)</f>
        <v>1</v>
      </c>
      <c r="U104" s="150">
        <f>SUM(U74:U103)</f>
        <v>1</v>
      </c>
      <c r="V104" s="150">
        <f>SUM(V74:V103)</f>
        <v>1</v>
      </c>
      <c r="W104" s="150">
        <f>SUM(W74:W103)</f>
        <v>1</v>
      </c>
      <c r="X104" s="150">
        <f>SUM(X74:X103)</f>
        <v>1</v>
      </c>
      <c r="Y104" s="150">
        <f>SUM(Y74:Y103)</f>
        <v>1</v>
      </c>
      <c r="Z104" s="150">
        <f>SUM(Z74:Z103)</f>
        <v>1</v>
      </c>
      <c r="AA104" s="151">
        <f>SUM(AA74:AA103)</f>
        <v>1</v>
      </c>
      <c r="AB104" s="158">
        <f>AB74+AB77+AB84+AB87+AB92+AB96+AB101</f>
        <v>1751.9999999999998</v>
      </c>
    </row>
    <row r="105" spans="3:31" ht="16.5" thickTop="1" thickBot="1" x14ac:dyDescent="0.4"/>
    <row r="106" spans="3:31" ht="16.5" thickTop="1" thickBot="1" x14ac:dyDescent="0.4">
      <c r="C106" s="52" t="s">
        <v>50</v>
      </c>
      <c r="D106" s="403">
        <v>1</v>
      </c>
      <c r="E106" s="547"/>
      <c r="F106" s="403">
        <v>2</v>
      </c>
      <c r="G106" s="547"/>
      <c r="H106" s="403">
        <v>3</v>
      </c>
      <c r="I106" s="547"/>
      <c r="J106" s="403">
        <v>4</v>
      </c>
      <c r="K106" s="547"/>
      <c r="L106" s="403">
        <v>5</v>
      </c>
      <c r="M106" s="547"/>
      <c r="N106" s="403">
        <v>6</v>
      </c>
      <c r="O106" s="547"/>
      <c r="P106" s="403">
        <v>7</v>
      </c>
      <c r="Q106" s="547"/>
      <c r="R106" s="403">
        <v>8</v>
      </c>
      <c r="S106" s="547"/>
      <c r="T106" s="403">
        <v>9</v>
      </c>
      <c r="U106" s="547"/>
      <c r="V106" s="403">
        <v>10</v>
      </c>
      <c r="W106" s="547"/>
      <c r="X106" s="403">
        <v>11</v>
      </c>
      <c r="Y106" s="547"/>
      <c r="Z106" s="403">
        <v>12</v>
      </c>
      <c r="AA106" s="548"/>
      <c r="AB106" s="154" t="s">
        <v>45</v>
      </c>
    </row>
    <row r="107" spans="3:31" ht="16.5" thickTop="1" thickBot="1" x14ac:dyDescent="0.4">
      <c r="C107" s="38" t="s">
        <v>18</v>
      </c>
      <c r="D107" s="99"/>
      <c r="E107" s="100"/>
      <c r="F107" s="99"/>
      <c r="G107" s="100"/>
      <c r="H107" s="101"/>
      <c r="I107" s="102"/>
      <c r="J107" s="101"/>
      <c r="K107" s="102"/>
      <c r="L107" s="101"/>
      <c r="M107" s="102"/>
      <c r="N107" s="101"/>
      <c r="O107" s="102"/>
      <c r="P107" s="101"/>
      <c r="Q107" s="102"/>
      <c r="R107" s="101"/>
      <c r="S107" s="102"/>
      <c r="T107" s="101"/>
      <c r="U107" s="102"/>
      <c r="V107" s="101"/>
      <c r="W107" s="102"/>
      <c r="X107" s="101"/>
      <c r="Y107" s="102"/>
      <c r="Z107" s="101"/>
      <c r="AA107" s="139"/>
      <c r="AB107" s="155">
        <f>SUM(AB108:AB109)</f>
        <v>1168</v>
      </c>
    </row>
    <row r="108" spans="3:31" ht="16" thickBot="1" x14ac:dyDescent="0.4">
      <c r="C108" s="44" t="s">
        <v>19</v>
      </c>
      <c r="D108" s="103">
        <v>4</v>
      </c>
      <c r="E108" s="104"/>
      <c r="F108" s="105"/>
      <c r="G108" s="104"/>
      <c r="H108" s="105"/>
      <c r="I108" s="104"/>
      <c r="J108" s="105"/>
      <c r="K108" s="104"/>
      <c r="L108" s="105"/>
      <c r="M108" s="104"/>
      <c r="N108" s="105"/>
      <c r="O108" s="104"/>
      <c r="P108" s="105"/>
      <c r="Q108" s="104"/>
      <c r="R108" s="105"/>
      <c r="S108" s="104"/>
      <c r="T108" s="105"/>
      <c r="U108" s="104"/>
      <c r="V108" s="105"/>
      <c r="W108" s="104"/>
      <c r="X108" s="105"/>
      <c r="Y108" s="104"/>
      <c r="Z108" s="105"/>
      <c r="AA108" s="140"/>
      <c r="AB108" s="156">
        <f>SUM(D108:AA108)*$B$37/2</f>
        <v>292</v>
      </c>
    </row>
    <row r="109" spans="3:31" ht="16" thickBot="1" x14ac:dyDescent="0.4">
      <c r="C109" s="46" t="s">
        <v>20</v>
      </c>
      <c r="D109" s="106"/>
      <c r="E109" s="107">
        <v>4</v>
      </c>
      <c r="F109" s="108">
        <v>4</v>
      </c>
      <c r="G109" s="107">
        <v>4</v>
      </c>
      <c r="H109" s="106"/>
      <c r="I109" s="109"/>
      <c r="J109" s="106"/>
      <c r="K109" s="109"/>
      <c r="L109" s="106"/>
      <c r="M109" s="109"/>
      <c r="N109" s="106"/>
      <c r="O109" s="109"/>
      <c r="P109" s="106"/>
      <c r="Q109" s="109"/>
      <c r="R109" s="106"/>
      <c r="S109" s="109"/>
      <c r="T109" s="106"/>
      <c r="U109" s="109"/>
      <c r="V109" s="106"/>
      <c r="W109" s="109"/>
      <c r="X109" s="106"/>
      <c r="Y109" s="109"/>
      <c r="Z109" s="106"/>
      <c r="AA109" s="141"/>
      <c r="AB109" s="157">
        <f>SUM(D109:AA109)*$B$37/2</f>
        <v>876</v>
      </c>
    </row>
    <row r="110" spans="3:31" ht="16.5" thickTop="1" thickBot="1" x14ac:dyDescent="0.4">
      <c r="C110" s="53" t="s">
        <v>21</v>
      </c>
      <c r="D110" s="101"/>
      <c r="E110" s="102"/>
      <c r="F110" s="101"/>
      <c r="G110" s="102"/>
      <c r="H110" s="110"/>
      <c r="I110" s="111"/>
      <c r="J110" s="110"/>
      <c r="K110" s="111"/>
      <c r="L110" s="110"/>
      <c r="M110" s="111"/>
      <c r="N110" s="110"/>
      <c r="O110" s="111"/>
      <c r="P110" s="110"/>
      <c r="Q110" s="111"/>
      <c r="R110" s="110"/>
      <c r="S110" s="111"/>
      <c r="T110" s="110"/>
      <c r="U110" s="111"/>
      <c r="V110" s="110"/>
      <c r="W110" s="111"/>
      <c r="X110" s="101"/>
      <c r="Y110" s="102"/>
      <c r="Z110" s="101"/>
      <c r="AA110" s="139"/>
      <c r="AB110" s="155">
        <f>SUM(AB111:AB114)</f>
        <v>2336</v>
      </c>
    </row>
    <row r="111" spans="3:31" ht="16" thickBot="1" x14ac:dyDescent="0.4">
      <c r="C111" s="56" t="s">
        <v>39</v>
      </c>
      <c r="D111" s="105"/>
      <c r="E111" s="104"/>
      <c r="F111" s="105"/>
      <c r="G111" s="104"/>
      <c r="H111" s="112">
        <v>2</v>
      </c>
      <c r="I111" s="113">
        <v>2</v>
      </c>
      <c r="J111" s="105"/>
      <c r="K111" s="104"/>
      <c r="L111" s="105"/>
      <c r="M111" s="104"/>
      <c r="N111" s="105"/>
      <c r="O111" s="104"/>
      <c r="P111" s="105"/>
      <c r="Q111" s="104"/>
      <c r="R111" s="105"/>
      <c r="S111" s="104"/>
      <c r="T111" s="105"/>
      <c r="U111" s="104"/>
      <c r="V111" s="105"/>
      <c r="W111" s="104"/>
      <c r="X111" s="105"/>
      <c r="Y111" s="104"/>
      <c r="Z111" s="105"/>
      <c r="AA111" s="140"/>
      <c r="AB111" s="156">
        <f>SUM(D111:AA111)*$B$37/2</f>
        <v>292</v>
      </c>
    </row>
    <row r="112" spans="3:31" ht="16" thickBot="1" x14ac:dyDescent="0.4">
      <c r="C112" s="56" t="s">
        <v>24</v>
      </c>
      <c r="D112" s="105"/>
      <c r="E112" s="104"/>
      <c r="F112" s="105"/>
      <c r="G112" s="104"/>
      <c r="H112" s="105"/>
      <c r="I112" s="104"/>
      <c r="J112" s="112">
        <v>2</v>
      </c>
      <c r="K112" s="112">
        <v>2</v>
      </c>
      <c r="L112" s="112">
        <v>2</v>
      </c>
      <c r="M112" s="113">
        <v>2</v>
      </c>
      <c r="N112" s="105"/>
      <c r="O112" s="104"/>
      <c r="P112" s="105"/>
      <c r="Q112" s="104"/>
      <c r="R112" s="105"/>
      <c r="S112" s="104"/>
      <c r="T112" s="105"/>
      <c r="U112" s="104"/>
      <c r="V112" s="105"/>
      <c r="W112" s="104"/>
      <c r="X112" s="105"/>
      <c r="Y112" s="104"/>
      <c r="Z112" s="105"/>
      <c r="AA112" s="140"/>
      <c r="AB112" s="156">
        <f>SUM(D112:AA112)*$B$37/2</f>
        <v>584</v>
      </c>
    </row>
    <row r="113" spans="3:32" ht="16" thickBot="1" x14ac:dyDescent="0.4">
      <c r="C113" s="56" t="s">
        <v>28</v>
      </c>
      <c r="D113" s="105"/>
      <c r="E113" s="104"/>
      <c r="F113" s="105"/>
      <c r="G113" s="104"/>
      <c r="H113" s="105"/>
      <c r="I113" s="104"/>
      <c r="J113" s="105"/>
      <c r="K113" s="105"/>
      <c r="L113" s="105"/>
      <c r="M113" s="104"/>
      <c r="N113" s="112">
        <v>2</v>
      </c>
      <c r="O113" s="112">
        <v>2</v>
      </c>
      <c r="P113" s="112">
        <v>2</v>
      </c>
      <c r="Q113" s="113">
        <v>2</v>
      </c>
      <c r="R113" s="112">
        <v>2</v>
      </c>
      <c r="S113" s="104"/>
      <c r="T113" s="105"/>
      <c r="U113" s="104"/>
      <c r="V113" s="105"/>
      <c r="W113" s="104"/>
      <c r="X113" s="105"/>
      <c r="Y113" s="104"/>
      <c r="Z113" s="105"/>
      <c r="AA113" s="140"/>
      <c r="AB113" s="156">
        <f>SUM(D113:AA113)*$B$37/2</f>
        <v>730</v>
      </c>
    </row>
    <row r="114" spans="3:32" ht="16" thickBot="1" x14ac:dyDescent="0.4">
      <c r="C114" s="57" t="s">
        <v>22</v>
      </c>
      <c r="D114" s="106"/>
      <c r="E114" s="109"/>
      <c r="F114" s="106"/>
      <c r="G114" s="109"/>
      <c r="H114" s="106"/>
      <c r="I114" s="109"/>
      <c r="J114" s="106"/>
      <c r="K114" s="106"/>
      <c r="L114" s="106"/>
      <c r="M114" s="109"/>
      <c r="N114" s="106"/>
      <c r="O114" s="106"/>
      <c r="P114" s="106"/>
      <c r="Q114" s="109"/>
      <c r="R114" s="106"/>
      <c r="S114" s="114">
        <v>2</v>
      </c>
      <c r="T114" s="115">
        <v>2</v>
      </c>
      <c r="U114" s="115">
        <v>2</v>
      </c>
      <c r="V114" s="115">
        <v>2</v>
      </c>
      <c r="W114" s="115">
        <v>2</v>
      </c>
      <c r="X114" s="106"/>
      <c r="Y114" s="109"/>
      <c r="Z114" s="106"/>
      <c r="AA114" s="141"/>
      <c r="AB114" s="157">
        <f>SUM(D114:AA114)*$B$37/2</f>
        <v>730</v>
      </c>
    </row>
    <row r="115" spans="3:32" ht="16.5" thickTop="1" thickBot="1" x14ac:dyDescent="0.4">
      <c r="C115" s="60" t="s">
        <v>23</v>
      </c>
      <c r="D115" s="101"/>
      <c r="E115" s="102"/>
      <c r="F115" s="101"/>
      <c r="G115" s="102"/>
      <c r="H115" s="116"/>
      <c r="I115" s="117"/>
      <c r="J115" s="116"/>
      <c r="K115" s="116"/>
      <c r="L115" s="116"/>
      <c r="M115" s="117"/>
      <c r="N115" s="116"/>
      <c r="O115" s="116"/>
      <c r="P115" s="116"/>
      <c r="Q115" s="117"/>
      <c r="R115" s="116"/>
      <c r="S115" s="117"/>
      <c r="T115" s="101"/>
      <c r="U115" s="101"/>
      <c r="V115" s="101"/>
      <c r="W115" s="101"/>
      <c r="X115" s="101"/>
      <c r="Y115" s="102"/>
      <c r="Z115" s="101"/>
      <c r="AA115" s="139"/>
      <c r="AB115" s="155">
        <f>SUM(AB116:AB119)</f>
        <v>876</v>
      </c>
    </row>
    <row r="116" spans="3:32" ht="16" thickBot="1" x14ac:dyDescent="0.4">
      <c r="C116" s="63" t="s">
        <v>25</v>
      </c>
      <c r="D116" s="105"/>
      <c r="E116" s="104"/>
      <c r="F116" s="105"/>
      <c r="G116" s="104"/>
      <c r="H116" s="118">
        <v>1</v>
      </c>
      <c r="I116" s="119">
        <v>1</v>
      </c>
      <c r="J116" s="105"/>
      <c r="K116" s="105"/>
      <c r="L116" s="105"/>
      <c r="M116" s="104"/>
      <c r="N116" s="105"/>
      <c r="O116" s="105"/>
      <c r="P116" s="105"/>
      <c r="Q116" s="104"/>
      <c r="R116" s="105"/>
      <c r="S116" s="104"/>
      <c r="T116" s="105"/>
      <c r="U116" s="105"/>
      <c r="V116" s="105"/>
      <c r="W116" s="105"/>
      <c r="X116" s="105"/>
      <c r="Y116" s="104"/>
      <c r="Z116" s="105"/>
      <c r="AA116" s="140"/>
      <c r="AB116" s="156">
        <f>SUM(D116:AA116)*$B$37/2</f>
        <v>146</v>
      </c>
    </row>
    <row r="117" spans="3:32" ht="16" thickBot="1" x14ac:dyDescent="0.4">
      <c r="C117" s="63" t="s">
        <v>26</v>
      </c>
      <c r="D117" s="105"/>
      <c r="E117" s="104"/>
      <c r="F117" s="105"/>
      <c r="G117" s="104"/>
      <c r="H117" s="105"/>
      <c r="I117" s="104"/>
      <c r="J117" s="118">
        <v>1</v>
      </c>
      <c r="K117" s="118">
        <v>1</v>
      </c>
      <c r="L117" s="118">
        <v>1</v>
      </c>
      <c r="M117" s="118">
        <v>1</v>
      </c>
      <c r="N117" s="118">
        <v>1</v>
      </c>
      <c r="O117" s="118">
        <v>1</v>
      </c>
      <c r="P117" s="118">
        <v>1</v>
      </c>
      <c r="Q117" s="104"/>
      <c r="R117" s="105"/>
      <c r="S117" s="104"/>
      <c r="T117" s="105"/>
      <c r="U117" s="105"/>
      <c r="V117" s="105"/>
      <c r="W117" s="105"/>
      <c r="X117" s="105"/>
      <c r="Y117" s="104"/>
      <c r="Z117" s="105"/>
      <c r="AA117" s="140"/>
      <c r="AB117" s="156">
        <f>SUM(D117:AA117)*$B$37/2</f>
        <v>511</v>
      </c>
    </row>
    <row r="118" spans="3:32" ht="16" thickBot="1" x14ac:dyDescent="0.4">
      <c r="C118" s="63" t="s">
        <v>27</v>
      </c>
      <c r="D118" s="105"/>
      <c r="E118" s="104"/>
      <c r="F118" s="105"/>
      <c r="G118" s="104"/>
      <c r="H118" s="105"/>
      <c r="I118" s="104"/>
      <c r="J118" s="105"/>
      <c r="K118" s="105"/>
      <c r="L118" s="105"/>
      <c r="M118" s="104"/>
      <c r="N118" s="105"/>
      <c r="O118" s="105">
        <v>0</v>
      </c>
      <c r="P118" s="105"/>
      <c r="Q118" s="119">
        <v>1</v>
      </c>
      <c r="R118" s="105"/>
      <c r="S118" s="104"/>
      <c r="T118" s="105"/>
      <c r="U118" s="105"/>
      <c r="V118" s="105"/>
      <c r="W118" s="105"/>
      <c r="X118" s="105"/>
      <c r="Y118" s="104"/>
      <c r="Z118" s="105"/>
      <c r="AA118" s="140"/>
      <c r="AB118" s="156">
        <f>SUM(D118:AA118)*$B$37/2</f>
        <v>73</v>
      </c>
    </row>
    <row r="119" spans="3:32" ht="16" thickBot="1" x14ac:dyDescent="0.4">
      <c r="C119" s="64" t="s">
        <v>29</v>
      </c>
      <c r="D119" s="106"/>
      <c r="E119" s="109"/>
      <c r="F119" s="106"/>
      <c r="G119" s="109"/>
      <c r="H119" s="106"/>
      <c r="I119" s="109"/>
      <c r="J119" s="106"/>
      <c r="K119" s="106"/>
      <c r="L119" s="106"/>
      <c r="M119" s="109"/>
      <c r="N119" s="106"/>
      <c r="O119" s="106"/>
      <c r="P119" s="106"/>
      <c r="Q119" s="109"/>
      <c r="R119" s="120">
        <v>1</v>
      </c>
      <c r="S119" s="121">
        <v>1</v>
      </c>
      <c r="T119" s="106"/>
      <c r="U119" s="106"/>
      <c r="V119" s="106"/>
      <c r="W119" s="106"/>
      <c r="X119" s="106"/>
      <c r="Y119" s="109"/>
      <c r="Z119" s="106"/>
      <c r="AA119" s="141"/>
      <c r="AB119" s="157">
        <f>SUM(D119:AA119)*$B$37/2</f>
        <v>146</v>
      </c>
      <c r="AF119" t="s">
        <v>42</v>
      </c>
    </row>
    <row r="120" spans="3:32" ht="16.5" thickTop="1" thickBot="1" x14ac:dyDescent="0.4">
      <c r="C120" s="79" t="s">
        <v>30</v>
      </c>
      <c r="D120" s="101"/>
      <c r="E120" s="102"/>
      <c r="F120" s="101"/>
      <c r="G120" s="102"/>
      <c r="H120" s="101"/>
      <c r="I120" s="102"/>
      <c r="J120" s="101"/>
      <c r="K120" s="101"/>
      <c r="L120" s="101"/>
      <c r="M120" s="102"/>
      <c r="N120" s="101"/>
      <c r="O120" s="101"/>
      <c r="P120" s="101"/>
      <c r="Q120" s="102"/>
      <c r="R120" s="101"/>
      <c r="S120" s="102"/>
      <c r="T120" s="116"/>
      <c r="U120" s="116"/>
      <c r="V120" s="116"/>
      <c r="W120" s="116"/>
      <c r="X120" s="101"/>
      <c r="Y120" s="102"/>
      <c r="Z120" s="101"/>
      <c r="AA120" s="139"/>
      <c r="AB120" s="155">
        <f>SUM(AB121:AB122)</f>
        <v>292</v>
      </c>
    </row>
    <row r="121" spans="3:32" ht="16" thickBot="1" x14ac:dyDescent="0.4">
      <c r="C121" s="80" t="s">
        <v>40</v>
      </c>
      <c r="D121" s="122"/>
      <c r="E121" s="123"/>
      <c r="F121" s="122"/>
      <c r="G121" s="123"/>
      <c r="H121" s="122"/>
      <c r="I121" s="123"/>
      <c r="J121" s="122"/>
      <c r="K121" s="122"/>
      <c r="L121" s="122"/>
      <c r="M121" s="123"/>
      <c r="N121" s="122"/>
      <c r="O121" s="122"/>
      <c r="P121" s="122"/>
      <c r="Q121" s="123"/>
      <c r="R121" s="122"/>
      <c r="S121" s="123"/>
      <c r="T121" s="124">
        <v>1</v>
      </c>
      <c r="U121" s="124">
        <v>1</v>
      </c>
      <c r="V121" s="122"/>
      <c r="W121" s="122"/>
      <c r="X121" s="122"/>
      <c r="Y121" s="123"/>
      <c r="Z121" s="122"/>
      <c r="AA121" s="142"/>
      <c r="AB121" s="156">
        <f>SUM(D121:AA121)*$B$37/2</f>
        <v>146</v>
      </c>
    </row>
    <row r="122" spans="3:32" ht="16" thickBot="1" x14ac:dyDescent="0.4">
      <c r="C122" s="82" t="s">
        <v>41</v>
      </c>
      <c r="D122" s="125"/>
      <c r="E122" s="126"/>
      <c r="F122" s="125"/>
      <c r="G122" s="126"/>
      <c r="H122" s="125"/>
      <c r="I122" s="126"/>
      <c r="J122" s="125"/>
      <c r="K122" s="125"/>
      <c r="L122" s="125"/>
      <c r="M122" s="126"/>
      <c r="N122" s="125"/>
      <c r="O122" s="125"/>
      <c r="P122" s="125"/>
      <c r="Q122" s="126"/>
      <c r="R122" s="125"/>
      <c r="S122" s="126"/>
      <c r="T122" s="125"/>
      <c r="U122" s="125"/>
      <c r="V122" s="127">
        <v>1</v>
      </c>
      <c r="W122" s="127">
        <v>1</v>
      </c>
      <c r="X122" s="125"/>
      <c r="Y122" s="126"/>
      <c r="Z122" s="125"/>
      <c r="AA122" s="143"/>
      <c r="AB122" s="157">
        <f>SUM(D122:AA122)*$B$37/2</f>
        <v>146</v>
      </c>
    </row>
    <row r="123" spans="3:32" ht="16.5" thickTop="1" thickBot="1" x14ac:dyDescent="0.4">
      <c r="C123" s="71" t="s">
        <v>31</v>
      </c>
      <c r="D123" s="128"/>
      <c r="E123" s="129"/>
      <c r="F123" s="128"/>
      <c r="G123" s="129"/>
      <c r="H123" s="128"/>
      <c r="I123" s="129"/>
      <c r="J123" s="128"/>
      <c r="K123" s="128"/>
      <c r="L123" s="128"/>
      <c r="M123" s="129"/>
      <c r="N123" s="128"/>
      <c r="O123" s="128"/>
      <c r="P123" s="128"/>
      <c r="Q123" s="129"/>
      <c r="R123" s="128"/>
      <c r="S123" s="129"/>
      <c r="T123" s="130"/>
      <c r="U123" s="130"/>
      <c r="V123" s="130"/>
      <c r="W123" s="130"/>
      <c r="X123" s="128"/>
      <c r="Y123" s="129"/>
      <c r="Z123" s="128"/>
      <c r="AA123" s="144"/>
      <c r="AB123" s="155">
        <f>SUM(AB124:AB125)</f>
        <v>292</v>
      </c>
    </row>
    <row r="124" spans="3:32" ht="16" thickBot="1" x14ac:dyDescent="0.4">
      <c r="C124" s="75" t="s">
        <v>43</v>
      </c>
      <c r="D124" s="132"/>
      <c r="E124" s="133"/>
      <c r="F124" s="132"/>
      <c r="G124" s="133"/>
      <c r="H124" s="132"/>
      <c r="I124" s="133"/>
      <c r="J124" s="132"/>
      <c r="K124" s="132"/>
      <c r="L124" s="132"/>
      <c r="M124" s="133"/>
      <c r="N124" s="132"/>
      <c r="O124" s="132"/>
      <c r="P124" s="132"/>
      <c r="Q124" s="133"/>
      <c r="R124" s="132"/>
      <c r="S124" s="133"/>
      <c r="T124" s="134">
        <v>1</v>
      </c>
      <c r="U124" s="134">
        <v>1</v>
      </c>
      <c r="V124" s="132"/>
      <c r="W124" s="132"/>
      <c r="X124" s="132"/>
      <c r="Y124" s="133"/>
      <c r="Z124" s="132"/>
      <c r="AA124" s="145"/>
      <c r="AB124" s="156">
        <f>SUM(D124:AA124)*$B$37/2</f>
        <v>146</v>
      </c>
    </row>
    <row r="125" spans="3:32" ht="16" thickBot="1" x14ac:dyDescent="0.4">
      <c r="C125" s="77" t="s">
        <v>44</v>
      </c>
      <c r="D125" s="106"/>
      <c r="E125" s="109"/>
      <c r="F125" s="106"/>
      <c r="G125" s="109"/>
      <c r="H125" s="106"/>
      <c r="I125" s="109"/>
      <c r="J125" s="106"/>
      <c r="K125" s="106"/>
      <c r="L125" s="106"/>
      <c r="M125" s="109"/>
      <c r="N125" s="106"/>
      <c r="O125" s="106"/>
      <c r="P125" s="106"/>
      <c r="Q125" s="109"/>
      <c r="R125" s="106"/>
      <c r="S125" s="109"/>
      <c r="T125" s="106"/>
      <c r="U125" s="109"/>
      <c r="V125" s="136">
        <v>1</v>
      </c>
      <c r="W125" s="136">
        <v>1</v>
      </c>
      <c r="X125" s="106"/>
      <c r="Y125" s="109"/>
      <c r="Z125" s="106"/>
      <c r="AA125" s="141"/>
      <c r="AB125" s="157">
        <f>SUM(D125:AA125)*$B$37/2</f>
        <v>146</v>
      </c>
    </row>
    <row r="126" spans="3:32" ht="16.5" thickTop="1" thickBot="1" x14ac:dyDescent="0.4">
      <c r="C126" s="71" t="s">
        <v>32</v>
      </c>
      <c r="D126" s="128"/>
      <c r="E126" s="129"/>
      <c r="F126" s="128"/>
      <c r="G126" s="129"/>
      <c r="H126" s="130"/>
      <c r="I126" s="131"/>
      <c r="J126" s="130"/>
      <c r="K126" s="130"/>
      <c r="L126" s="130"/>
      <c r="M126" s="131"/>
      <c r="N126" s="130"/>
      <c r="O126" s="130"/>
      <c r="P126" s="130"/>
      <c r="Q126" s="131"/>
      <c r="R126" s="130"/>
      <c r="S126" s="131"/>
      <c r="T126" s="128"/>
      <c r="U126" s="129"/>
      <c r="V126" s="128"/>
      <c r="W126" s="129"/>
      <c r="X126" s="128"/>
      <c r="Y126" s="129"/>
      <c r="Z126" s="128"/>
      <c r="AA126" s="144"/>
      <c r="AB126" s="155">
        <f>SUM(AB127:AB129)</f>
        <v>876</v>
      </c>
    </row>
    <row r="127" spans="3:32" ht="16" thickBot="1" x14ac:dyDescent="0.4">
      <c r="C127" s="75" t="s">
        <v>36</v>
      </c>
      <c r="D127" s="132"/>
      <c r="E127" s="133"/>
      <c r="F127" s="132"/>
      <c r="G127" s="133"/>
      <c r="H127" s="134">
        <v>1</v>
      </c>
      <c r="I127" s="135">
        <v>1</v>
      </c>
      <c r="J127" s="134">
        <v>1</v>
      </c>
      <c r="K127" s="134">
        <v>1</v>
      </c>
      <c r="L127" s="134">
        <v>1</v>
      </c>
      <c r="M127" s="133"/>
      <c r="N127" s="132"/>
      <c r="O127" s="132"/>
      <c r="P127" s="132"/>
      <c r="Q127" s="133"/>
      <c r="R127" s="132"/>
      <c r="S127" s="133"/>
      <c r="T127" s="132"/>
      <c r="U127" s="133"/>
      <c r="V127" s="132"/>
      <c r="W127" s="133"/>
      <c r="X127" s="132"/>
      <c r="Y127" s="133"/>
      <c r="Z127" s="132"/>
      <c r="AA127" s="145"/>
      <c r="AB127" s="156">
        <f>SUM(D127:AA127)*$B$37/2</f>
        <v>365</v>
      </c>
    </row>
    <row r="128" spans="3:32" ht="16" thickBot="1" x14ac:dyDescent="0.4">
      <c r="C128" s="75" t="s">
        <v>37</v>
      </c>
      <c r="D128" s="132"/>
      <c r="E128" s="133"/>
      <c r="F128" s="132"/>
      <c r="G128" s="133"/>
      <c r="H128" s="132"/>
      <c r="I128" s="133"/>
      <c r="J128" s="132"/>
      <c r="K128" s="133"/>
      <c r="L128" s="132"/>
      <c r="M128" s="135">
        <v>1</v>
      </c>
      <c r="N128" s="134">
        <v>1</v>
      </c>
      <c r="O128" s="134">
        <v>1</v>
      </c>
      <c r="P128" s="134">
        <v>1</v>
      </c>
      <c r="Q128" s="133"/>
      <c r="R128" s="132"/>
      <c r="S128" s="133"/>
      <c r="T128" s="132"/>
      <c r="U128" s="133"/>
      <c r="V128" s="132"/>
      <c r="W128" s="133"/>
      <c r="X128" s="132"/>
      <c r="Y128" s="133"/>
      <c r="Z128" s="132"/>
      <c r="AA128" s="145"/>
      <c r="AB128" s="156">
        <f>SUM(D128:AA128)*$B$37/2</f>
        <v>292</v>
      </c>
    </row>
    <row r="129" spans="2:31" ht="16" thickBot="1" x14ac:dyDescent="0.4">
      <c r="C129" s="77" t="s">
        <v>38</v>
      </c>
      <c r="D129" s="106"/>
      <c r="E129" s="109"/>
      <c r="F129" s="106"/>
      <c r="G129" s="109"/>
      <c r="H129" s="106"/>
      <c r="I129" s="109"/>
      <c r="J129" s="106"/>
      <c r="K129" s="109"/>
      <c r="L129" s="106"/>
      <c r="M129" s="109"/>
      <c r="N129" s="106"/>
      <c r="O129" s="109"/>
      <c r="P129" s="106"/>
      <c r="Q129" s="137">
        <v>1</v>
      </c>
      <c r="R129" s="136">
        <v>1</v>
      </c>
      <c r="S129" s="137">
        <v>1</v>
      </c>
      <c r="T129" s="106"/>
      <c r="U129" s="109"/>
      <c r="V129" s="106"/>
      <c r="W129" s="109"/>
      <c r="X129" s="106"/>
      <c r="Y129" s="109"/>
      <c r="Z129" s="106"/>
      <c r="AA129" s="141"/>
      <c r="AB129" s="157">
        <f>SUM(D129:AA129)*$B$37/2</f>
        <v>219</v>
      </c>
    </row>
    <row r="130" spans="2:31" ht="16.5" thickTop="1" thickBot="1" x14ac:dyDescent="0.4">
      <c r="C130" s="38" t="s">
        <v>33</v>
      </c>
      <c r="D130" s="101"/>
      <c r="E130" s="102"/>
      <c r="F130" s="101"/>
      <c r="G130" s="102"/>
      <c r="H130" s="101"/>
      <c r="I130" s="102"/>
      <c r="J130" s="101"/>
      <c r="K130" s="102"/>
      <c r="L130" s="101"/>
      <c r="M130" s="102"/>
      <c r="N130" s="101"/>
      <c r="O130" s="102"/>
      <c r="P130" s="101"/>
      <c r="Q130" s="102"/>
      <c r="R130" s="101"/>
      <c r="S130" s="102"/>
      <c r="T130" s="101"/>
      <c r="U130" s="102"/>
      <c r="V130" s="101"/>
      <c r="W130" s="102"/>
      <c r="X130" s="99"/>
      <c r="Y130" s="100"/>
      <c r="Z130" s="99"/>
      <c r="AA130" s="146"/>
      <c r="AB130" s="155">
        <f>SUM(AB131:AB132)</f>
        <v>1168</v>
      </c>
    </row>
    <row r="131" spans="2:31" ht="16" thickBot="1" x14ac:dyDescent="0.4">
      <c r="C131" s="44" t="s">
        <v>34</v>
      </c>
      <c r="D131" s="105"/>
      <c r="E131" s="104"/>
      <c r="F131" s="105"/>
      <c r="G131" s="104"/>
      <c r="H131" s="105"/>
      <c r="I131" s="104"/>
      <c r="J131" s="105"/>
      <c r="K131" s="104"/>
      <c r="L131" s="105"/>
      <c r="M131" s="104"/>
      <c r="N131" s="105"/>
      <c r="O131" s="104"/>
      <c r="P131" s="105"/>
      <c r="Q131" s="104"/>
      <c r="R131" s="105"/>
      <c r="S131" s="104"/>
      <c r="T131" s="105"/>
      <c r="U131" s="104"/>
      <c r="V131" s="105"/>
      <c r="W131" s="104"/>
      <c r="X131" s="103">
        <v>4</v>
      </c>
      <c r="Y131" s="138">
        <v>4</v>
      </c>
      <c r="Z131" s="103">
        <v>4</v>
      </c>
      <c r="AA131" s="140"/>
      <c r="AB131" s="156">
        <f>SUM(D131:AA131)*$B$37/2</f>
        <v>876</v>
      </c>
    </row>
    <row r="132" spans="2:31" ht="16" thickBot="1" x14ac:dyDescent="0.4">
      <c r="C132" s="87" t="s">
        <v>35</v>
      </c>
      <c r="D132" s="132"/>
      <c r="E132" s="133"/>
      <c r="F132" s="132"/>
      <c r="G132" s="133"/>
      <c r="H132" s="132"/>
      <c r="I132" s="133"/>
      <c r="J132" s="132"/>
      <c r="K132" s="133"/>
      <c r="L132" s="132"/>
      <c r="M132" s="133"/>
      <c r="N132" s="132"/>
      <c r="O132" s="133"/>
      <c r="P132" s="132"/>
      <c r="Q132" s="133"/>
      <c r="R132" s="132"/>
      <c r="S132" s="133"/>
      <c r="T132" s="132"/>
      <c r="U132" s="133"/>
      <c r="V132" s="132"/>
      <c r="W132" s="133"/>
      <c r="X132" s="132"/>
      <c r="Y132" s="133"/>
      <c r="Z132" s="132"/>
      <c r="AA132" s="147">
        <v>4</v>
      </c>
      <c r="AB132" s="157">
        <f>SUM(D132:AA132)*$B$37/2</f>
        <v>292</v>
      </c>
      <c r="AE132" t="s">
        <v>42</v>
      </c>
    </row>
    <row r="133" spans="2:31" ht="16.5" thickTop="1" thickBot="1" x14ac:dyDescent="0.4">
      <c r="C133" s="148" t="s">
        <v>9</v>
      </c>
      <c r="D133" s="149">
        <f t="shared" ref="D133:AA133" si="1">SUM(D107:D132)</f>
        <v>4</v>
      </c>
      <c r="E133" s="150">
        <f t="shared" si="1"/>
        <v>4</v>
      </c>
      <c r="F133" s="150">
        <f t="shared" si="1"/>
        <v>4</v>
      </c>
      <c r="G133" s="150">
        <f t="shared" si="1"/>
        <v>4</v>
      </c>
      <c r="H133" s="150">
        <f t="shared" si="1"/>
        <v>4</v>
      </c>
      <c r="I133" s="150">
        <f t="shared" si="1"/>
        <v>4</v>
      </c>
      <c r="J133" s="150">
        <f t="shared" si="1"/>
        <v>4</v>
      </c>
      <c r="K133" s="150">
        <f t="shared" si="1"/>
        <v>4</v>
      </c>
      <c r="L133" s="150">
        <f t="shared" si="1"/>
        <v>4</v>
      </c>
      <c r="M133" s="150">
        <f t="shared" si="1"/>
        <v>4</v>
      </c>
      <c r="N133" s="150">
        <f t="shared" si="1"/>
        <v>4</v>
      </c>
      <c r="O133" s="150">
        <f t="shared" si="1"/>
        <v>4</v>
      </c>
      <c r="P133" s="150">
        <f t="shared" si="1"/>
        <v>4</v>
      </c>
      <c r="Q133" s="150">
        <f t="shared" si="1"/>
        <v>4</v>
      </c>
      <c r="R133" s="150">
        <f t="shared" si="1"/>
        <v>4</v>
      </c>
      <c r="S133" s="150">
        <f t="shared" si="1"/>
        <v>4</v>
      </c>
      <c r="T133" s="150">
        <f t="shared" si="1"/>
        <v>4</v>
      </c>
      <c r="U133" s="150">
        <f t="shared" si="1"/>
        <v>4</v>
      </c>
      <c r="V133" s="150">
        <f t="shared" si="1"/>
        <v>4</v>
      </c>
      <c r="W133" s="150">
        <f t="shared" si="1"/>
        <v>4</v>
      </c>
      <c r="X133" s="150">
        <f t="shared" si="1"/>
        <v>4</v>
      </c>
      <c r="Y133" s="150">
        <f t="shared" si="1"/>
        <v>4</v>
      </c>
      <c r="Z133" s="150">
        <f t="shared" si="1"/>
        <v>4</v>
      </c>
      <c r="AA133" s="151">
        <f t="shared" si="1"/>
        <v>4</v>
      </c>
      <c r="AB133" s="158">
        <f>AB107+AB110+AB115+AB120+AB123+AB126+AB130</f>
        <v>7008</v>
      </c>
    </row>
    <row r="134" spans="2:31" ht="16" thickTop="1" x14ac:dyDescent="0.35"/>
    <row r="135" spans="2:31" ht="16" thickBot="1" x14ac:dyDescent="0.4"/>
    <row r="136" spans="2:31" ht="16.5" thickTop="1" thickBot="1" x14ac:dyDescent="0.4">
      <c r="B136" s="344"/>
      <c r="C136" s="52" t="s">
        <v>172</v>
      </c>
      <c r="D136" s="402">
        <v>1</v>
      </c>
      <c r="E136" s="402"/>
      <c r="F136" s="402">
        <v>2</v>
      </c>
      <c r="G136" s="402"/>
      <c r="H136" s="402">
        <v>3</v>
      </c>
      <c r="I136" s="402"/>
      <c r="J136" s="402">
        <v>4</v>
      </c>
      <c r="K136" s="402"/>
      <c r="L136" s="402">
        <v>5</v>
      </c>
      <c r="M136" s="402"/>
      <c r="N136" s="402">
        <v>6</v>
      </c>
      <c r="O136" s="402"/>
      <c r="P136" s="402">
        <v>7</v>
      </c>
      <c r="Q136" s="402"/>
      <c r="R136" s="402">
        <v>8</v>
      </c>
      <c r="S136" s="402"/>
      <c r="T136" s="402">
        <v>9</v>
      </c>
      <c r="U136" s="402"/>
      <c r="V136" s="402">
        <v>10</v>
      </c>
      <c r="W136" s="402"/>
      <c r="X136" s="402">
        <v>11</v>
      </c>
      <c r="Y136" s="402"/>
      <c r="Z136" s="402">
        <v>12</v>
      </c>
      <c r="AA136" s="403"/>
      <c r="AB136" s="154" t="s">
        <v>45</v>
      </c>
    </row>
    <row r="137" spans="2:31" ht="16.5" thickTop="1" thickBot="1" x14ac:dyDescent="0.4">
      <c r="C137" s="38" t="s">
        <v>18</v>
      </c>
      <c r="D137" s="99"/>
      <c r="E137" s="100"/>
      <c r="F137" s="99"/>
      <c r="G137" s="100"/>
      <c r="H137" s="101"/>
      <c r="I137" s="102"/>
      <c r="J137" s="101"/>
      <c r="K137" s="102"/>
      <c r="L137" s="101"/>
      <c r="M137" s="102"/>
      <c r="N137" s="101"/>
      <c r="O137" s="102"/>
      <c r="P137" s="101"/>
      <c r="Q137" s="102"/>
      <c r="R137" s="101"/>
      <c r="S137" s="102"/>
      <c r="T137" s="101"/>
      <c r="U137" s="102"/>
      <c r="V137" s="101"/>
      <c r="W137" s="102"/>
      <c r="X137" s="101"/>
      <c r="Y137" s="102"/>
      <c r="Z137" s="101"/>
      <c r="AA137" s="139"/>
      <c r="AB137" s="155">
        <f>SUM(AB138:AB139)</f>
        <v>1314</v>
      </c>
    </row>
    <row r="138" spans="2:31" ht="16" thickBot="1" x14ac:dyDescent="0.4">
      <c r="C138" s="44" t="s">
        <v>19</v>
      </c>
      <c r="D138" s="103">
        <v>0</v>
      </c>
      <c r="E138" s="104"/>
      <c r="F138" s="105"/>
      <c r="G138" s="104"/>
      <c r="H138" s="105"/>
      <c r="I138" s="104"/>
      <c r="J138" s="105"/>
      <c r="K138" s="104"/>
      <c r="L138" s="105"/>
      <c r="M138" s="104"/>
      <c r="N138" s="105"/>
      <c r="O138" s="104"/>
      <c r="P138" s="105"/>
      <c r="Q138" s="104"/>
      <c r="R138" s="105"/>
      <c r="S138" s="104"/>
      <c r="T138" s="105"/>
      <c r="U138" s="104"/>
      <c r="V138" s="105"/>
      <c r="W138" s="104"/>
      <c r="X138" s="105"/>
      <c r="Y138" s="104"/>
      <c r="Z138" s="105"/>
      <c r="AA138" s="140"/>
      <c r="AB138" s="156">
        <f>SUM(D138:AA138)*$B$37/2</f>
        <v>0</v>
      </c>
    </row>
    <row r="139" spans="2:31" ht="16" thickBot="1" x14ac:dyDescent="0.4">
      <c r="C139" s="46" t="s">
        <v>20</v>
      </c>
      <c r="D139" s="106"/>
      <c r="E139" s="107">
        <v>6</v>
      </c>
      <c r="F139" s="108">
        <v>6</v>
      </c>
      <c r="G139" s="107">
        <v>6</v>
      </c>
      <c r="H139" s="106"/>
      <c r="I139" s="109"/>
      <c r="J139" s="106"/>
      <c r="K139" s="109"/>
      <c r="L139" s="106"/>
      <c r="M139" s="109"/>
      <c r="N139" s="106"/>
      <c r="O139" s="109"/>
      <c r="P139" s="106"/>
      <c r="Q139" s="109"/>
      <c r="R139" s="106"/>
      <c r="S139" s="109"/>
      <c r="T139" s="106"/>
      <c r="U139" s="109"/>
      <c r="V139" s="106"/>
      <c r="W139" s="109"/>
      <c r="X139" s="106"/>
      <c r="Y139" s="109"/>
      <c r="Z139" s="106"/>
      <c r="AA139" s="141"/>
      <c r="AB139" s="157">
        <f>SUM(D139:AA139)*$B$37/2</f>
        <v>1314</v>
      </c>
    </row>
    <row r="140" spans="2:31" ht="16.5" thickTop="1" thickBot="1" x14ac:dyDescent="0.4">
      <c r="C140" s="53" t="s">
        <v>21</v>
      </c>
      <c r="D140" s="101"/>
      <c r="E140" s="102"/>
      <c r="F140" s="101"/>
      <c r="G140" s="102"/>
      <c r="H140" s="110"/>
      <c r="I140" s="111"/>
      <c r="J140" s="110"/>
      <c r="K140" s="111"/>
      <c r="L140" s="110"/>
      <c r="M140" s="111"/>
      <c r="N140" s="110"/>
      <c r="O140" s="111"/>
      <c r="P140" s="110"/>
      <c r="Q140" s="111"/>
      <c r="R140" s="110"/>
      <c r="S140" s="111"/>
      <c r="T140" s="110"/>
      <c r="U140" s="111"/>
      <c r="V140" s="110"/>
      <c r="W140" s="111"/>
      <c r="X140" s="101"/>
      <c r="Y140" s="102"/>
      <c r="Z140" s="101"/>
      <c r="AA140" s="139"/>
      <c r="AB140" s="155">
        <f>SUM(AB141:AB144)</f>
        <v>2336</v>
      </c>
    </row>
    <row r="141" spans="2:31" ht="16" thickBot="1" x14ac:dyDescent="0.4">
      <c r="C141" s="56" t="s">
        <v>39</v>
      </c>
      <c r="D141" s="105"/>
      <c r="E141" s="104"/>
      <c r="F141" s="105"/>
      <c r="G141" s="104"/>
      <c r="H141" s="112">
        <v>2</v>
      </c>
      <c r="I141" s="113">
        <v>2</v>
      </c>
      <c r="J141" s="105"/>
      <c r="K141" s="104"/>
      <c r="L141" s="105"/>
      <c r="M141" s="104"/>
      <c r="N141" s="105"/>
      <c r="O141" s="104"/>
      <c r="P141" s="105"/>
      <c r="Q141" s="104"/>
      <c r="R141" s="105"/>
      <c r="S141" s="104"/>
      <c r="T141" s="105"/>
      <c r="U141" s="104"/>
      <c r="V141" s="105"/>
      <c r="W141" s="104"/>
      <c r="X141" s="105"/>
      <c r="Y141" s="104"/>
      <c r="Z141" s="105"/>
      <c r="AA141" s="140"/>
      <c r="AB141" s="156">
        <f>SUM(D141:AA141)*$B$37/2</f>
        <v>292</v>
      </c>
    </row>
    <row r="142" spans="2:31" ht="16" thickBot="1" x14ac:dyDescent="0.4">
      <c r="C142" s="56" t="s">
        <v>24</v>
      </c>
      <c r="D142" s="105"/>
      <c r="E142" s="104"/>
      <c r="F142" s="105"/>
      <c r="G142" s="104"/>
      <c r="H142" s="105"/>
      <c r="I142" s="104"/>
      <c r="J142" s="112">
        <v>2</v>
      </c>
      <c r="K142" s="112">
        <v>2</v>
      </c>
      <c r="L142" s="112">
        <v>2</v>
      </c>
      <c r="M142" s="113">
        <v>2</v>
      </c>
      <c r="N142" s="105"/>
      <c r="O142" s="104"/>
      <c r="P142" s="105"/>
      <c r="Q142" s="104"/>
      <c r="R142" s="105"/>
      <c r="S142" s="104"/>
      <c r="T142" s="105"/>
      <c r="U142" s="104"/>
      <c r="V142" s="105"/>
      <c r="W142" s="104"/>
      <c r="X142" s="105"/>
      <c r="Y142" s="104"/>
      <c r="Z142" s="105"/>
      <c r="AA142" s="140"/>
      <c r="AB142" s="156">
        <f>SUM(D142:AA142)*$B$37/2</f>
        <v>584</v>
      </c>
    </row>
    <row r="143" spans="2:31" ht="16" thickBot="1" x14ac:dyDescent="0.4">
      <c r="C143" s="56" t="s">
        <v>28</v>
      </c>
      <c r="D143" s="105"/>
      <c r="E143" s="104"/>
      <c r="F143" s="105"/>
      <c r="G143" s="104"/>
      <c r="H143" s="105"/>
      <c r="I143" s="104"/>
      <c r="J143" s="105"/>
      <c r="K143" s="105"/>
      <c r="L143" s="105"/>
      <c r="M143" s="104"/>
      <c r="N143" s="112">
        <v>2</v>
      </c>
      <c r="O143" s="112">
        <v>2</v>
      </c>
      <c r="P143" s="112">
        <v>2</v>
      </c>
      <c r="Q143" s="113">
        <v>2</v>
      </c>
      <c r="R143" s="112">
        <v>2</v>
      </c>
      <c r="S143" s="104"/>
      <c r="T143" s="105"/>
      <c r="U143" s="104"/>
      <c r="V143" s="105"/>
      <c r="W143" s="104"/>
      <c r="X143" s="105"/>
      <c r="Y143" s="104"/>
      <c r="Z143" s="105"/>
      <c r="AA143" s="140"/>
      <c r="AB143" s="156">
        <f>SUM(D143:AA143)*$B$37/2</f>
        <v>730</v>
      </c>
    </row>
    <row r="144" spans="2:31" ht="16" thickBot="1" x14ac:dyDescent="0.4">
      <c r="C144" s="57" t="s">
        <v>22</v>
      </c>
      <c r="D144" s="106"/>
      <c r="E144" s="109"/>
      <c r="F144" s="106"/>
      <c r="G144" s="109"/>
      <c r="H144" s="106"/>
      <c r="I144" s="109"/>
      <c r="J144" s="106"/>
      <c r="K144" s="106"/>
      <c r="L144" s="106"/>
      <c r="M144" s="109"/>
      <c r="N144" s="106"/>
      <c r="O144" s="106"/>
      <c r="P144" s="106"/>
      <c r="Q144" s="109"/>
      <c r="R144" s="106"/>
      <c r="S144" s="114">
        <v>2</v>
      </c>
      <c r="T144" s="115">
        <v>2</v>
      </c>
      <c r="U144" s="115">
        <v>2</v>
      </c>
      <c r="V144" s="115">
        <v>2</v>
      </c>
      <c r="W144" s="115">
        <v>2</v>
      </c>
      <c r="X144" s="106"/>
      <c r="Y144" s="109"/>
      <c r="Z144" s="106"/>
      <c r="AA144" s="141"/>
      <c r="AB144" s="157">
        <f>SUM(D144:AA144)*$B$37/2</f>
        <v>730</v>
      </c>
    </row>
    <row r="145" spans="3:32" ht="16.5" thickTop="1" thickBot="1" x14ac:dyDescent="0.4">
      <c r="C145" s="60" t="s">
        <v>23</v>
      </c>
      <c r="D145" s="101"/>
      <c r="E145" s="102"/>
      <c r="F145" s="101"/>
      <c r="G145" s="102"/>
      <c r="H145" s="116"/>
      <c r="I145" s="117"/>
      <c r="J145" s="116"/>
      <c r="K145" s="116"/>
      <c r="L145" s="116"/>
      <c r="M145" s="117"/>
      <c r="N145" s="116"/>
      <c r="O145" s="116"/>
      <c r="P145" s="116"/>
      <c r="Q145" s="117"/>
      <c r="R145" s="116"/>
      <c r="S145" s="117"/>
      <c r="T145" s="101"/>
      <c r="U145" s="101"/>
      <c r="V145" s="101"/>
      <c r="W145" s="101"/>
      <c r="X145" s="101"/>
      <c r="Y145" s="102"/>
      <c r="Z145" s="101"/>
      <c r="AA145" s="139"/>
      <c r="AB145" s="155">
        <f>SUM(AB146:AB149)</f>
        <v>1752</v>
      </c>
    </row>
    <row r="146" spans="3:32" ht="16" thickBot="1" x14ac:dyDescent="0.4">
      <c r="C146" s="63" t="s">
        <v>25</v>
      </c>
      <c r="D146" s="105"/>
      <c r="E146" s="104"/>
      <c r="F146" s="105"/>
      <c r="G146" s="104"/>
      <c r="H146" s="118">
        <v>2</v>
      </c>
      <c r="I146" s="119">
        <v>2</v>
      </c>
      <c r="J146" s="105"/>
      <c r="K146" s="105"/>
      <c r="L146" s="105"/>
      <c r="M146" s="104"/>
      <c r="N146" s="105"/>
      <c r="O146" s="105"/>
      <c r="P146" s="105"/>
      <c r="Q146" s="104"/>
      <c r="R146" s="105"/>
      <c r="S146" s="104"/>
      <c r="T146" s="105"/>
      <c r="U146" s="105"/>
      <c r="V146" s="105"/>
      <c r="W146" s="105"/>
      <c r="X146" s="105"/>
      <c r="Y146" s="104"/>
      <c r="Z146" s="105"/>
      <c r="AA146" s="140"/>
      <c r="AB146" s="156">
        <f>SUM(D146:AA146)*$B$37/2</f>
        <v>292</v>
      </c>
    </row>
    <row r="147" spans="3:32" ht="16" thickBot="1" x14ac:dyDescent="0.4">
      <c r="C147" s="63" t="s">
        <v>26</v>
      </c>
      <c r="D147" s="105"/>
      <c r="E147" s="104"/>
      <c r="F147" s="105"/>
      <c r="G147" s="104"/>
      <c r="H147" s="105"/>
      <c r="I147" s="104"/>
      <c r="J147" s="118">
        <v>2</v>
      </c>
      <c r="K147" s="118">
        <v>2</v>
      </c>
      <c r="L147" s="118">
        <v>2</v>
      </c>
      <c r="M147" s="118">
        <v>2</v>
      </c>
      <c r="N147" s="118">
        <v>2</v>
      </c>
      <c r="O147" s="118">
        <v>2</v>
      </c>
      <c r="P147" s="118">
        <v>2</v>
      </c>
      <c r="Q147" s="104"/>
      <c r="R147" s="105"/>
      <c r="S147" s="104"/>
      <c r="T147" s="105"/>
      <c r="U147" s="105"/>
      <c r="V147" s="105"/>
      <c r="W147" s="105"/>
      <c r="X147" s="105"/>
      <c r="Y147" s="104"/>
      <c r="Z147" s="105"/>
      <c r="AA147" s="140"/>
      <c r="AB147" s="156">
        <f>SUM(D147:AA147)*$B$37/2</f>
        <v>1022</v>
      </c>
    </row>
    <row r="148" spans="3:32" ht="16" thickBot="1" x14ac:dyDescent="0.4">
      <c r="C148" s="63" t="s">
        <v>27</v>
      </c>
      <c r="D148" s="105"/>
      <c r="E148" s="104"/>
      <c r="F148" s="105"/>
      <c r="G148" s="104"/>
      <c r="H148" s="105"/>
      <c r="I148" s="104"/>
      <c r="J148" s="105"/>
      <c r="K148" s="105"/>
      <c r="L148" s="105"/>
      <c r="M148" s="104"/>
      <c r="N148" s="105"/>
      <c r="O148" s="105">
        <v>0</v>
      </c>
      <c r="P148" s="105"/>
      <c r="Q148" s="119">
        <v>2</v>
      </c>
      <c r="R148" s="105"/>
      <c r="S148" s="104"/>
      <c r="T148" s="105"/>
      <c r="U148" s="105"/>
      <c r="V148" s="105"/>
      <c r="W148" s="105"/>
      <c r="X148" s="105"/>
      <c r="Y148" s="104"/>
      <c r="Z148" s="105"/>
      <c r="AA148" s="140"/>
      <c r="AB148" s="156">
        <f>SUM(D148:AA148)*$B$37/2</f>
        <v>146</v>
      </c>
    </row>
    <row r="149" spans="3:32" ht="16" thickBot="1" x14ac:dyDescent="0.4">
      <c r="C149" s="64" t="s">
        <v>29</v>
      </c>
      <c r="D149" s="106"/>
      <c r="E149" s="109"/>
      <c r="F149" s="106"/>
      <c r="G149" s="109"/>
      <c r="H149" s="106"/>
      <c r="I149" s="109"/>
      <c r="J149" s="106"/>
      <c r="K149" s="106"/>
      <c r="L149" s="106"/>
      <c r="M149" s="109"/>
      <c r="N149" s="106"/>
      <c r="O149" s="106"/>
      <c r="P149" s="106"/>
      <c r="Q149" s="109"/>
      <c r="R149" s="120">
        <v>2</v>
      </c>
      <c r="S149" s="121">
        <v>2</v>
      </c>
      <c r="T149" s="106"/>
      <c r="U149" s="106"/>
      <c r="V149" s="106"/>
      <c r="W149" s="106"/>
      <c r="X149" s="106"/>
      <c r="Y149" s="109"/>
      <c r="Z149" s="106"/>
      <c r="AA149" s="141"/>
      <c r="AB149" s="157">
        <f>SUM(D149:AA149)*$B$37/2</f>
        <v>292</v>
      </c>
      <c r="AF149" t="s">
        <v>42</v>
      </c>
    </row>
    <row r="150" spans="3:32" ht="16.5" thickTop="1" thickBot="1" x14ac:dyDescent="0.4">
      <c r="C150" s="79" t="s">
        <v>30</v>
      </c>
      <c r="D150" s="101"/>
      <c r="E150" s="102"/>
      <c r="F150" s="101"/>
      <c r="G150" s="102"/>
      <c r="H150" s="101"/>
      <c r="I150" s="102"/>
      <c r="J150" s="101"/>
      <c r="K150" s="101"/>
      <c r="L150" s="101"/>
      <c r="M150" s="102"/>
      <c r="N150" s="101"/>
      <c r="O150" s="101"/>
      <c r="P150" s="101"/>
      <c r="Q150" s="102"/>
      <c r="R150" s="101"/>
      <c r="S150" s="102"/>
      <c r="T150" s="116"/>
      <c r="U150" s="116"/>
      <c r="V150" s="116"/>
      <c r="W150" s="116"/>
      <c r="X150" s="101"/>
      <c r="Y150" s="102"/>
      <c r="Z150" s="101"/>
      <c r="AA150" s="139"/>
      <c r="AB150" s="155">
        <f>SUM(AB151:AB152)</f>
        <v>584</v>
      </c>
    </row>
    <row r="151" spans="3:32" ht="16" thickBot="1" x14ac:dyDescent="0.4">
      <c r="C151" s="80" t="s">
        <v>40</v>
      </c>
      <c r="D151" s="122"/>
      <c r="E151" s="123"/>
      <c r="F151" s="122"/>
      <c r="G151" s="123"/>
      <c r="H151" s="122"/>
      <c r="I151" s="123"/>
      <c r="J151" s="122"/>
      <c r="K151" s="122"/>
      <c r="L151" s="122"/>
      <c r="M151" s="123"/>
      <c r="N151" s="122"/>
      <c r="O151" s="122"/>
      <c r="P151" s="122"/>
      <c r="Q151" s="123"/>
      <c r="R151" s="122"/>
      <c r="S151" s="123"/>
      <c r="T151" s="124">
        <v>2</v>
      </c>
      <c r="U151" s="124">
        <v>2</v>
      </c>
      <c r="V151" s="122"/>
      <c r="W151" s="122"/>
      <c r="X151" s="122"/>
      <c r="Y151" s="123"/>
      <c r="Z151" s="122"/>
      <c r="AA151" s="142"/>
      <c r="AB151" s="156">
        <f>SUM(D151:AA151)*$B$37/2</f>
        <v>292</v>
      </c>
    </row>
    <row r="152" spans="3:32" ht="16" thickBot="1" x14ac:dyDescent="0.4">
      <c r="C152" s="82" t="s">
        <v>41</v>
      </c>
      <c r="D152" s="125"/>
      <c r="E152" s="126"/>
      <c r="F152" s="125"/>
      <c r="G152" s="126"/>
      <c r="H152" s="125"/>
      <c r="I152" s="126"/>
      <c r="J152" s="125"/>
      <c r="K152" s="125"/>
      <c r="L152" s="125"/>
      <c r="M152" s="126"/>
      <c r="N152" s="125"/>
      <c r="O152" s="125"/>
      <c r="P152" s="125"/>
      <c r="Q152" s="126"/>
      <c r="R152" s="125"/>
      <c r="S152" s="126"/>
      <c r="T152" s="125"/>
      <c r="U152" s="125"/>
      <c r="V152" s="127">
        <v>2</v>
      </c>
      <c r="W152" s="127">
        <v>2</v>
      </c>
      <c r="X152" s="125"/>
      <c r="Y152" s="126"/>
      <c r="Z152" s="125"/>
      <c r="AA152" s="143"/>
      <c r="AB152" s="157">
        <f>SUM(D152:AA152)*$B$37/2</f>
        <v>292</v>
      </c>
    </row>
    <row r="153" spans="3:32" ht="16.5" thickTop="1" thickBot="1" x14ac:dyDescent="0.4">
      <c r="C153" s="71" t="s">
        <v>31</v>
      </c>
      <c r="D153" s="128"/>
      <c r="E153" s="129"/>
      <c r="F153" s="128"/>
      <c r="G153" s="129"/>
      <c r="H153" s="128"/>
      <c r="I153" s="129"/>
      <c r="J153" s="128"/>
      <c r="K153" s="128"/>
      <c r="L153" s="128"/>
      <c r="M153" s="129"/>
      <c r="N153" s="128"/>
      <c r="O153" s="128"/>
      <c r="P153" s="128"/>
      <c r="Q153" s="129"/>
      <c r="R153" s="128"/>
      <c r="S153" s="129"/>
      <c r="T153" s="130"/>
      <c r="U153" s="130"/>
      <c r="V153" s="130"/>
      <c r="W153" s="130"/>
      <c r="X153" s="128"/>
      <c r="Y153" s="129"/>
      <c r="Z153" s="128"/>
      <c r="AA153" s="144"/>
      <c r="AB153" s="155">
        <f>SUM(AB154:AB155)</f>
        <v>584</v>
      </c>
    </row>
    <row r="154" spans="3:32" ht="16" thickBot="1" x14ac:dyDescent="0.4">
      <c r="C154" s="75" t="s">
        <v>43</v>
      </c>
      <c r="D154" s="132"/>
      <c r="E154" s="133"/>
      <c r="F154" s="132"/>
      <c r="G154" s="133"/>
      <c r="H154" s="132"/>
      <c r="I154" s="133"/>
      <c r="J154" s="132"/>
      <c r="K154" s="132"/>
      <c r="L154" s="132"/>
      <c r="M154" s="133"/>
      <c r="N154" s="132"/>
      <c r="O154" s="132"/>
      <c r="P154" s="132"/>
      <c r="Q154" s="133"/>
      <c r="R154" s="132"/>
      <c r="S154" s="133"/>
      <c r="T154" s="134">
        <v>2</v>
      </c>
      <c r="U154" s="134">
        <v>2</v>
      </c>
      <c r="V154" s="132"/>
      <c r="W154" s="132"/>
      <c r="X154" s="132"/>
      <c r="Y154" s="133"/>
      <c r="Z154" s="132"/>
      <c r="AA154" s="145"/>
      <c r="AB154" s="156">
        <f>SUM(D154:AA154)*$B$37/2</f>
        <v>292</v>
      </c>
    </row>
    <row r="155" spans="3:32" ht="16" thickBot="1" x14ac:dyDescent="0.4">
      <c r="C155" s="77" t="s">
        <v>44</v>
      </c>
      <c r="D155" s="106"/>
      <c r="E155" s="109"/>
      <c r="F155" s="106"/>
      <c r="G155" s="109"/>
      <c r="H155" s="106"/>
      <c r="I155" s="109"/>
      <c r="J155" s="106"/>
      <c r="K155" s="106"/>
      <c r="L155" s="106"/>
      <c r="M155" s="109"/>
      <c r="N155" s="106"/>
      <c r="O155" s="106"/>
      <c r="P155" s="106"/>
      <c r="Q155" s="109"/>
      <c r="R155" s="106"/>
      <c r="S155" s="109"/>
      <c r="T155" s="106"/>
      <c r="U155" s="109"/>
      <c r="V155" s="136">
        <v>2</v>
      </c>
      <c r="W155" s="136">
        <v>2</v>
      </c>
      <c r="X155" s="106"/>
      <c r="Y155" s="109"/>
      <c r="Z155" s="106"/>
      <c r="AA155" s="141"/>
      <c r="AB155" s="157">
        <f>SUM(D155:AA155)*$B$37/2</f>
        <v>292</v>
      </c>
    </row>
    <row r="156" spans="3:32" ht="16.5" thickTop="1" thickBot="1" x14ac:dyDescent="0.4">
      <c r="C156" s="71" t="s">
        <v>32</v>
      </c>
      <c r="D156" s="128"/>
      <c r="E156" s="129"/>
      <c r="F156" s="128"/>
      <c r="G156" s="129"/>
      <c r="H156" s="130"/>
      <c r="I156" s="131"/>
      <c r="J156" s="130"/>
      <c r="K156" s="130"/>
      <c r="L156" s="130"/>
      <c r="M156" s="131"/>
      <c r="N156" s="130"/>
      <c r="O156" s="130"/>
      <c r="P156" s="130"/>
      <c r="Q156" s="131"/>
      <c r="R156" s="130"/>
      <c r="S156" s="131"/>
      <c r="T156" s="128"/>
      <c r="U156" s="129"/>
      <c r="V156" s="128"/>
      <c r="W156" s="129"/>
      <c r="X156" s="128"/>
      <c r="Y156" s="129"/>
      <c r="Z156" s="128"/>
      <c r="AA156" s="144"/>
      <c r="AB156" s="155">
        <f>SUM(AB157:AB159)</f>
        <v>1752</v>
      </c>
    </row>
    <row r="157" spans="3:32" ht="16" thickBot="1" x14ac:dyDescent="0.4">
      <c r="C157" s="75" t="s">
        <v>36</v>
      </c>
      <c r="D157" s="132"/>
      <c r="E157" s="133"/>
      <c r="F157" s="132"/>
      <c r="G157" s="133"/>
      <c r="H157" s="134">
        <v>2</v>
      </c>
      <c r="I157" s="135">
        <v>2</v>
      </c>
      <c r="J157" s="134">
        <v>2</v>
      </c>
      <c r="K157" s="134">
        <v>2</v>
      </c>
      <c r="L157" s="134">
        <v>2</v>
      </c>
      <c r="M157" s="133"/>
      <c r="N157" s="132"/>
      <c r="O157" s="132"/>
      <c r="P157" s="132"/>
      <c r="Q157" s="133"/>
      <c r="R157" s="132"/>
      <c r="S157" s="133"/>
      <c r="T157" s="132"/>
      <c r="U157" s="133"/>
      <c r="V157" s="132"/>
      <c r="W157" s="133"/>
      <c r="X157" s="132"/>
      <c r="Y157" s="133"/>
      <c r="Z157" s="132"/>
      <c r="AA157" s="145"/>
      <c r="AB157" s="156">
        <f>SUM(D157:AA157)*$B$37/2</f>
        <v>730</v>
      </c>
    </row>
    <row r="158" spans="3:32" ht="16" thickBot="1" x14ac:dyDescent="0.4">
      <c r="C158" s="75" t="s">
        <v>37</v>
      </c>
      <c r="D158" s="132"/>
      <c r="E158" s="133"/>
      <c r="F158" s="132"/>
      <c r="G158" s="133"/>
      <c r="H158" s="132"/>
      <c r="I158" s="133"/>
      <c r="J158" s="132"/>
      <c r="K158" s="133"/>
      <c r="L158" s="132"/>
      <c r="M158" s="135">
        <v>2</v>
      </c>
      <c r="N158" s="134">
        <v>2</v>
      </c>
      <c r="O158" s="134">
        <v>2</v>
      </c>
      <c r="P158" s="134">
        <v>2</v>
      </c>
      <c r="Q158" s="133"/>
      <c r="R158" s="132"/>
      <c r="S158" s="133"/>
      <c r="T158" s="132"/>
      <c r="U158" s="133"/>
      <c r="V158" s="132"/>
      <c r="W158" s="133"/>
      <c r="X158" s="132"/>
      <c r="Y158" s="133"/>
      <c r="Z158" s="132"/>
      <c r="AA158" s="145"/>
      <c r="AB158" s="156">
        <f>SUM(D158:AA158)*$B$37/2</f>
        <v>584</v>
      </c>
    </row>
    <row r="159" spans="3:32" ht="16" thickBot="1" x14ac:dyDescent="0.4">
      <c r="C159" s="77" t="s">
        <v>38</v>
      </c>
      <c r="D159" s="106"/>
      <c r="E159" s="109"/>
      <c r="F159" s="106"/>
      <c r="G159" s="109"/>
      <c r="H159" s="106"/>
      <c r="I159" s="109"/>
      <c r="J159" s="106"/>
      <c r="K159" s="109"/>
      <c r="L159" s="106">
        <v>0</v>
      </c>
      <c r="M159" s="109"/>
      <c r="N159" s="106"/>
      <c r="O159" s="109"/>
      <c r="P159" s="106"/>
      <c r="Q159" s="137">
        <v>2</v>
      </c>
      <c r="R159" s="136">
        <v>2</v>
      </c>
      <c r="S159" s="137">
        <v>2</v>
      </c>
      <c r="T159" s="106"/>
      <c r="U159" s="109"/>
      <c r="V159" s="106"/>
      <c r="W159" s="109"/>
      <c r="X159" s="106"/>
      <c r="Y159" s="109"/>
      <c r="Z159" s="106"/>
      <c r="AA159" s="141"/>
      <c r="AB159" s="157">
        <f>SUM(D159:AA159)*$B$37/2</f>
        <v>438</v>
      </c>
    </row>
    <row r="160" spans="3:32" ht="16.5" thickTop="1" thickBot="1" x14ac:dyDescent="0.4">
      <c r="C160" s="38" t="s">
        <v>33</v>
      </c>
      <c r="D160" s="101"/>
      <c r="E160" s="102"/>
      <c r="F160" s="101"/>
      <c r="G160" s="102"/>
      <c r="H160" s="101"/>
      <c r="I160" s="102"/>
      <c r="J160" s="101"/>
      <c r="K160" s="102"/>
      <c r="L160" s="101"/>
      <c r="M160" s="102"/>
      <c r="N160" s="101"/>
      <c r="O160" s="102"/>
      <c r="P160" s="101"/>
      <c r="Q160" s="102"/>
      <c r="R160" s="101"/>
      <c r="S160" s="102"/>
      <c r="T160" s="101"/>
      <c r="U160" s="102"/>
      <c r="V160" s="101"/>
      <c r="W160" s="102"/>
      <c r="X160" s="99"/>
      <c r="Y160" s="100"/>
      <c r="Z160" s="99"/>
      <c r="AA160" s="146"/>
      <c r="AB160" s="155">
        <f>SUM(AB161:AB162)</f>
        <v>1752</v>
      </c>
    </row>
    <row r="161" spans="2:31" ht="16" thickBot="1" x14ac:dyDescent="0.4">
      <c r="C161" s="44" t="s">
        <v>34</v>
      </c>
      <c r="D161" s="105"/>
      <c r="E161" s="104"/>
      <c r="F161" s="105"/>
      <c r="G161" s="104"/>
      <c r="H161" s="105"/>
      <c r="I161" s="104"/>
      <c r="J161" s="105"/>
      <c r="K161" s="104"/>
      <c r="L161" s="105"/>
      <c r="M161" s="104"/>
      <c r="N161" s="105"/>
      <c r="O161" s="104"/>
      <c r="P161" s="105"/>
      <c r="Q161" s="104"/>
      <c r="R161" s="105"/>
      <c r="S161" s="104"/>
      <c r="T161" s="105"/>
      <c r="U161" s="104"/>
      <c r="V161" s="105"/>
      <c r="W161" s="104"/>
      <c r="X161" s="103">
        <v>6</v>
      </c>
      <c r="Y161" s="138">
        <v>6</v>
      </c>
      <c r="Z161" s="103">
        <v>6</v>
      </c>
      <c r="AA161" s="140"/>
      <c r="AB161" s="156">
        <f>SUM(D161:AA161)*$B$37/2</f>
        <v>1314</v>
      </c>
    </row>
    <row r="162" spans="2:31" ht="16" thickBot="1" x14ac:dyDescent="0.4">
      <c r="C162" s="87" t="s">
        <v>35</v>
      </c>
      <c r="D162" s="132"/>
      <c r="E162" s="133"/>
      <c r="F162" s="132"/>
      <c r="G162" s="133"/>
      <c r="H162" s="132"/>
      <c r="I162" s="133"/>
      <c r="J162" s="132"/>
      <c r="K162" s="133"/>
      <c r="L162" s="132"/>
      <c r="M162" s="133"/>
      <c r="N162" s="132"/>
      <c r="O162" s="133"/>
      <c r="P162" s="132"/>
      <c r="Q162" s="133"/>
      <c r="R162" s="132"/>
      <c r="S162" s="133"/>
      <c r="T162" s="132"/>
      <c r="U162" s="133"/>
      <c r="V162" s="132"/>
      <c r="W162" s="133"/>
      <c r="X162" s="132"/>
      <c r="Y162" s="133"/>
      <c r="Z162" s="132"/>
      <c r="AA162" s="147">
        <v>6</v>
      </c>
      <c r="AB162" s="157">
        <f>SUM(D162:AA162)*$B$37/2</f>
        <v>438</v>
      </c>
      <c r="AE162" t="s">
        <v>42</v>
      </c>
    </row>
    <row r="163" spans="2:31" ht="16.5" thickTop="1" thickBot="1" x14ac:dyDescent="0.4">
      <c r="C163" s="148" t="s">
        <v>9</v>
      </c>
      <c r="D163" s="149">
        <f t="shared" ref="D163:AA163" si="2">SUM(D137:D162)</f>
        <v>0</v>
      </c>
      <c r="E163" s="150">
        <f t="shared" si="2"/>
        <v>6</v>
      </c>
      <c r="F163" s="150">
        <f t="shared" si="2"/>
        <v>6</v>
      </c>
      <c r="G163" s="150">
        <f t="shared" si="2"/>
        <v>6</v>
      </c>
      <c r="H163" s="150">
        <f t="shared" si="2"/>
        <v>6</v>
      </c>
      <c r="I163" s="150">
        <f t="shared" si="2"/>
        <v>6</v>
      </c>
      <c r="J163" s="150">
        <f t="shared" si="2"/>
        <v>6</v>
      </c>
      <c r="K163" s="150">
        <f t="shared" si="2"/>
        <v>6</v>
      </c>
      <c r="L163" s="150">
        <f t="shared" si="2"/>
        <v>6</v>
      </c>
      <c r="M163" s="150">
        <f t="shared" si="2"/>
        <v>6</v>
      </c>
      <c r="N163" s="150">
        <f t="shared" si="2"/>
        <v>6</v>
      </c>
      <c r="O163" s="150">
        <f t="shared" si="2"/>
        <v>6</v>
      </c>
      <c r="P163" s="150">
        <f t="shared" si="2"/>
        <v>6</v>
      </c>
      <c r="Q163" s="150">
        <f t="shared" si="2"/>
        <v>6</v>
      </c>
      <c r="R163" s="150">
        <f t="shared" si="2"/>
        <v>6</v>
      </c>
      <c r="S163" s="150">
        <f t="shared" si="2"/>
        <v>6</v>
      </c>
      <c r="T163" s="150">
        <f t="shared" si="2"/>
        <v>6</v>
      </c>
      <c r="U163" s="150">
        <f t="shared" si="2"/>
        <v>6</v>
      </c>
      <c r="V163" s="150">
        <f t="shared" si="2"/>
        <v>6</v>
      </c>
      <c r="W163" s="150">
        <f t="shared" si="2"/>
        <v>6</v>
      </c>
      <c r="X163" s="150">
        <f t="shared" si="2"/>
        <v>6</v>
      </c>
      <c r="Y163" s="150">
        <f t="shared" si="2"/>
        <v>6</v>
      </c>
      <c r="Z163" s="150">
        <f t="shared" si="2"/>
        <v>6</v>
      </c>
      <c r="AA163" s="151">
        <f t="shared" si="2"/>
        <v>6</v>
      </c>
      <c r="AB163" s="158">
        <f>AB137+AB140+AB145+AB150+AB153+AB156+AB160</f>
        <v>10074</v>
      </c>
    </row>
    <row r="164" spans="2:31" ht="16" thickTop="1" x14ac:dyDescent="0.35"/>
    <row r="165" spans="2:31" ht="16" thickBot="1" x14ac:dyDescent="0.4"/>
    <row r="166" spans="2:31" ht="16.5" thickTop="1" thickBot="1" x14ac:dyDescent="0.4">
      <c r="B166" s="52" t="s">
        <v>127</v>
      </c>
      <c r="C166" s="52" t="s">
        <v>9</v>
      </c>
      <c r="D166" s="402">
        <v>1</v>
      </c>
      <c r="E166" s="402"/>
      <c r="F166" s="402">
        <v>2</v>
      </c>
      <c r="G166" s="402"/>
      <c r="H166" s="402">
        <v>3</v>
      </c>
      <c r="I166" s="402"/>
      <c r="J166" s="402">
        <v>4</v>
      </c>
      <c r="K166" s="402"/>
      <c r="L166" s="402">
        <v>5</v>
      </c>
      <c r="M166" s="402"/>
      <c r="N166" s="402">
        <v>6</v>
      </c>
      <c r="O166" s="402"/>
      <c r="P166" s="402">
        <v>7</v>
      </c>
      <c r="Q166" s="402"/>
      <c r="R166" s="402">
        <v>8</v>
      </c>
      <c r="S166" s="402"/>
      <c r="T166" s="402">
        <v>9</v>
      </c>
      <c r="U166" s="402"/>
      <c r="V166" s="402">
        <v>10</v>
      </c>
      <c r="W166" s="402"/>
      <c r="X166" s="402">
        <v>11</v>
      </c>
      <c r="Y166" s="402"/>
      <c r="Z166" s="402">
        <v>12</v>
      </c>
      <c r="AA166" s="403"/>
      <c r="AB166" s="154" t="s">
        <v>45</v>
      </c>
    </row>
    <row r="167" spans="2:31" ht="16.5" thickTop="1" thickBot="1" x14ac:dyDescent="0.4">
      <c r="B167" s="346">
        <v>0</v>
      </c>
      <c r="C167" s="38" t="s">
        <v>18</v>
      </c>
      <c r="D167" s="99"/>
      <c r="E167" s="100"/>
      <c r="F167" s="99"/>
      <c r="G167" s="100"/>
      <c r="H167" s="101"/>
      <c r="I167" s="102"/>
      <c r="J167" s="101"/>
      <c r="K167" s="102"/>
      <c r="L167" s="101"/>
      <c r="M167" s="102"/>
      <c r="N167" s="101"/>
      <c r="O167" s="102"/>
      <c r="P167" s="101"/>
      <c r="Q167" s="102"/>
      <c r="R167" s="101"/>
      <c r="S167" s="102"/>
      <c r="T167" s="101"/>
      <c r="U167" s="102"/>
      <c r="V167" s="101"/>
      <c r="W167" s="102"/>
      <c r="X167" s="101"/>
      <c r="Y167" s="102"/>
      <c r="Z167" s="101"/>
      <c r="AA167" s="139"/>
      <c r="AB167" s="155">
        <f>SUM(AB168:AB169)</f>
        <v>2774</v>
      </c>
    </row>
    <row r="168" spans="2:31" ht="16" thickBot="1" x14ac:dyDescent="0.4">
      <c r="B168" s="347"/>
      <c r="C168" s="44" t="s">
        <v>19</v>
      </c>
      <c r="D168" s="103">
        <f>D42+D75+D108+D138</f>
        <v>6</v>
      </c>
      <c r="E168" s="104">
        <f>E42+E75+E108+E138</f>
        <v>0</v>
      </c>
      <c r="F168" s="105">
        <f>F42+F75+F108+F138</f>
        <v>0</v>
      </c>
      <c r="G168" s="104">
        <f>G42+G75+G108+G138</f>
        <v>0</v>
      </c>
      <c r="H168" s="105">
        <f>H42+H75+H108+H138</f>
        <v>0</v>
      </c>
      <c r="I168" s="104">
        <f>I42+I75+I108+I138</f>
        <v>0</v>
      </c>
      <c r="J168" s="105">
        <f>J42+J75+J108+J138</f>
        <v>0</v>
      </c>
      <c r="K168" s="104">
        <f>K42+K75+K108+K138</f>
        <v>0</v>
      </c>
      <c r="L168" s="105">
        <f>L42+L75+L108+L138</f>
        <v>0</v>
      </c>
      <c r="M168" s="104">
        <f>M42+M75+M108+M138</f>
        <v>0</v>
      </c>
      <c r="N168" s="105">
        <f>N42+N75+N108+N138</f>
        <v>0</v>
      </c>
      <c r="O168" s="104">
        <f>O42+O75+O108+O138</f>
        <v>0</v>
      </c>
      <c r="P168" s="105">
        <f>P42+P75+P108+P138</f>
        <v>0</v>
      </c>
      <c r="Q168" s="104">
        <f>Q42+Q75+Q108+Q138</f>
        <v>0</v>
      </c>
      <c r="R168" s="105">
        <f>R42+R75+R108+R138</f>
        <v>0</v>
      </c>
      <c r="S168" s="104">
        <f>S42+S75+S108+S138</f>
        <v>0</v>
      </c>
      <c r="T168" s="105">
        <f>T42+T75+T108+T138</f>
        <v>0</v>
      </c>
      <c r="U168" s="104">
        <f>U42+U75+U108+U138</f>
        <v>0</v>
      </c>
      <c r="V168" s="105">
        <f>V42+V75+V108+V138</f>
        <v>0</v>
      </c>
      <c r="W168" s="104">
        <f>W42+W75+W108+W138</f>
        <v>0</v>
      </c>
      <c r="X168" s="105">
        <f>X42+X75+X108+X138</f>
        <v>0</v>
      </c>
      <c r="Y168" s="104">
        <f>Y42+Y75+Y108+Y138</f>
        <v>0</v>
      </c>
      <c r="Z168" s="105">
        <f>Z42+Z75+Z108+Z138</f>
        <v>0</v>
      </c>
      <c r="AA168" s="140">
        <f>AA42+AA75+AA108+AA138</f>
        <v>0</v>
      </c>
      <c r="AB168" s="156">
        <f>SUM(D168:AA168)*$B$37/2</f>
        <v>438</v>
      </c>
    </row>
    <row r="169" spans="2:31" ht="16" thickBot="1" x14ac:dyDescent="0.4">
      <c r="B169" s="348"/>
      <c r="C169" s="46" t="s">
        <v>20</v>
      </c>
      <c r="D169" s="106">
        <f>D43+D76+D109+D139</f>
        <v>0</v>
      </c>
      <c r="E169" s="107">
        <f>E43+E76+E109+E139</f>
        <v>12</v>
      </c>
      <c r="F169" s="108">
        <f>F43+F76+F109+F139</f>
        <v>10</v>
      </c>
      <c r="G169" s="107">
        <f>G43+G76+G109+G139</f>
        <v>10</v>
      </c>
      <c r="H169" s="106">
        <f>H43+H76+H109+H139</f>
        <v>0</v>
      </c>
      <c r="I169" s="109">
        <f>I43+I76+I109+I139</f>
        <v>0</v>
      </c>
      <c r="J169" s="106">
        <f>J43+J76+J109+J139</f>
        <v>0</v>
      </c>
      <c r="K169" s="109">
        <f>K43+K76+K109+K139</f>
        <v>0</v>
      </c>
      <c r="L169" s="106">
        <f>L43+L76+L109+L139</f>
        <v>0</v>
      </c>
      <c r="M169" s="109">
        <f>M43+M76+M109+M139</f>
        <v>0</v>
      </c>
      <c r="N169" s="106">
        <f>N43+N76+N109+N139</f>
        <v>0</v>
      </c>
      <c r="O169" s="109">
        <f>O43+O76+O109+O139</f>
        <v>0</v>
      </c>
      <c r="P169" s="106">
        <f>P43+P76+P109+P139</f>
        <v>0</v>
      </c>
      <c r="Q169" s="109">
        <f>Q43+Q76+Q109+Q139</f>
        <v>0</v>
      </c>
      <c r="R169" s="106">
        <f>R43+R76+R109+R139</f>
        <v>0</v>
      </c>
      <c r="S169" s="109">
        <f>S43+S76+S109+S139</f>
        <v>0</v>
      </c>
      <c r="T169" s="106">
        <f>T43+T76+T109+T139</f>
        <v>0</v>
      </c>
      <c r="U169" s="109">
        <f>U43+U76+U109+U139</f>
        <v>0</v>
      </c>
      <c r="V169" s="106">
        <f>V43+V76+V109+V139</f>
        <v>0</v>
      </c>
      <c r="W169" s="109">
        <f>W43+W76+W109+W139</f>
        <v>0</v>
      </c>
      <c r="X169" s="106">
        <f>X43+X76+X109+X139</f>
        <v>0</v>
      </c>
      <c r="Y169" s="109">
        <f>Y43+Y76+Y109+Y139</f>
        <v>0</v>
      </c>
      <c r="Z169" s="106">
        <f>Z43+Z76+Z109+Z139</f>
        <v>0</v>
      </c>
      <c r="AA169" s="141">
        <f>AA43+AA76+AA109+AA139</f>
        <v>0</v>
      </c>
      <c r="AB169" s="157">
        <f>SUM(D169:AA169)*$B$37/2</f>
        <v>2336</v>
      </c>
    </row>
    <row r="170" spans="2:31" ht="16.5" thickTop="1" thickBot="1" x14ac:dyDescent="0.4">
      <c r="B170" s="349">
        <v>1</v>
      </c>
      <c r="C170" s="53" t="s">
        <v>21</v>
      </c>
      <c r="D170" s="101">
        <f>D44+D77+D110+D140</f>
        <v>0</v>
      </c>
      <c r="E170" s="102">
        <f>E44+E77+E110+E140</f>
        <v>0</v>
      </c>
      <c r="F170" s="101">
        <f>F44+F77+F110+F140</f>
        <v>0</v>
      </c>
      <c r="G170" s="102">
        <f>G44+G77+G110+G140</f>
        <v>0</v>
      </c>
      <c r="H170" s="110">
        <f>H44+H77+H110+H140</f>
        <v>0</v>
      </c>
      <c r="I170" s="111">
        <f>I44+I77+I110+I140</f>
        <v>0</v>
      </c>
      <c r="J170" s="110">
        <f>J44+J77+J110+J140</f>
        <v>0</v>
      </c>
      <c r="K170" s="111">
        <f>K44+K77+K110+K140</f>
        <v>0</v>
      </c>
      <c r="L170" s="110">
        <f>L44+L77+L110+L140</f>
        <v>0</v>
      </c>
      <c r="M170" s="111">
        <f>M44+M77+M110+M140</f>
        <v>0</v>
      </c>
      <c r="N170" s="110">
        <f>N44+N77+N110+N140</f>
        <v>0</v>
      </c>
      <c r="O170" s="111">
        <f>O44+O77+O110+O140</f>
        <v>0</v>
      </c>
      <c r="P170" s="110">
        <f>P44+P77+P110+P140</f>
        <v>0</v>
      </c>
      <c r="Q170" s="111">
        <f>Q44+Q77+Q110+Q140</f>
        <v>0</v>
      </c>
      <c r="R170" s="110">
        <f>R44+R77+R110+R140</f>
        <v>0</v>
      </c>
      <c r="S170" s="111">
        <f>S44+S77+S110+S140</f>
        <v>0</v>
      </c>
      <c r="T170" s="110">
        <f>T44+T77+T110+T140</f>
        <v>0</v>
      </c>
      <c r="U170" s="111">
        <f>U44+U77+U110+U140</f>
        <v>0</v>
      </c>
      <c r="V170" s="110">
        <f>V44+V77+V110+V140</f>
        <v>0</v>
      </c>
      <c r="W170" s="111">
        <f>W44+W77+W110+W140</f>
        <v>0</v>
      </c>
      <c r="X170" s="101">
        <f>X44+X77+X110+X140</f>
        <v>0</v>
      </c>
      <c r="Y170" s="102">
        <f>Y44+Y77+Y110+Y140</f>
        <v>0</v>
      </c>
      <c r="Z170" s="101">
        <f>Z44+Z77+Z110+Z140</f>
        <v>0</v>
      </c>
      <c r="AA170" s="139">
        <f>AA44+AA77+AA110+AA140</f>
        <v>0</v>
      </c>
      <c r="AB170" s="155">
        <f>SUM(AB171:AB174)</f>
        <v>5256</v>
      </c>
    </row>
    <row r="171" spans="2:31" ht="16" thickBot="1" x14ac:dyDescent="0.4">
      <c r="B171" s="350"/>
      <c r="C171" s="56" t="s">
        <v>39</v>
      </c>
      <c r="D171" s="105">
        <f>D45+D78+D111+D141</f>
        <v>0</v>
      </c>
      <c r="E171" s="104">
        <f>E45+E78+E111+E141</f>
        <v>0</v>
      </c>
      <c r="F171" s="105">
        <f>F45+F78+F111+F141</f>
        <v>1</v>
      </c>
      <c r="G171" s="104">
        <f>G45+G78+G111+G141</f>
        <v>1</v>
      </c>
      <c r="H171" s="112">
        <f>H45+H78+H111+H141</f>
        <v>4</v>
      </c>
      <c r="I171" s="113">
        <f>I45+I78+I111+I141</f>
        <v>4</v>
      </c>
      <c r="J171" s="105">
        <f>J45+J78+J111+J141</f>
        <v>0</v>
      </c>
      <c r="K171" s="104">
        <f>K45+K78+K111+K141</f>
        <v>0</v>
      </c>
      <c r="L171" s="105">
        <f>L45+L78+L111+L141</f>
        <v>0</v>
      </c>
      <c r="M171" s="104">
        <f>M45+M78+M111+M141</f>
        <v>0</v>
      </c>
      <c r="N171" s="105">
        <f>N45+N78+N111+N141</f>
        <v>0</v>
      </c>
      <c r="O171" s="104">
        <f>O45+O78+O111+O141</f>
        <v>0</v>
      </c>
      <c r="P171" s="105">
        <f>P45+P78+P111+P141</f>
        <v>0</v>
      </c>
      <c r="Q171" s="104">
        <f>Q45+Q78+Q111+Q141</f>
        <v>0</v>
      </c>
      <c r="R171" s="105">
        <f>R45+R78+R111+R141</f>
        <v>0</v>
      </c>
      <c r="S171" s="104">
        <f>S45+S78+S111+S141</f>
        <v>0</v>
      </c>
      <c r="T171" s="105">
        <f>T45+T78+T111+T141</f>
        <v>0</v>
      </c>
      <c r="U171" s="104">
        <f>U45+U78+U111+U141</f>
        <v>0</v>
      </c>
      <c r="V171" s="105">
        <f>V45+V78+V111+V141</f>
        <v>0</v>
      </c>
      <c r="W171" s="104">
        <f>W45+W78+W111+W141</f>
        <v>0</v>
      </c>
      <c r="X171" s="105">
        <f>X45+X78+X111+X141</f>
        <v>0</v>
      </c>
      <c r="Y171" s="104">
        <f>Y45+Y78+Y111+Y141</f>
        <v>0</v>
      </c>
      <c r="Z171" s="105">
        <f>Z45+Z78+Z111+Z141</f>
        <v>0</v>
      </c>
      <c r="AA171" s="140">
        <f>AA45+AA78+AA111+AA141</f>
        <v>0</v>
      </c>
      <c r="AB171" s="156">
        <f>SUM(D171:AA171)*$B$37/2</f>
        <v>730</v>
      </c>
    </row>
    <row r="172" spans="2:31" ht="16" thickBot="1" x14ac:dyDescent="0.4">
      <c r="B172" s="350"/>
      <c r="C172" s="56" t="s">
        <v>24</v>
      </c>
      <c r="D172" s="105">
        <f>D48+D81+D112+D142</f>
        <v>0</v>
      </c>
      <c r="E172" s="104">
        <f>E48+E81+E112+E142</f>
        <v>0</v>
      </c>
      <c r="F172" s="105">
        <f>F48+F81+F112+F142</f>
        <v>0</v>
      </c>
      <c r="G172" s="104">
        <f>G48+G81+G112+G142</f>
        <v>0</v>
      </c>
      <c r="H172" s="105">
        <f>H48+H81+H112+H142</f>
        <v>0</v>
      </c>
      <c r="I172" s="113">
        <f>I48+I81+I112+I142</f>
        <v>0</v>
      </c>
      <c r="J172" s="112">
        <f>J48+J81+J112+J142</f>
        <v>4</v>
      </c>
      <c r="K172" s="112">
        <f>K48+K81+K112+K142</f>
        <v>4</v>
      </c>
      <c r="L172" s="112">
        <f>L48+L81+L112+L142</f>
        <v>4</v>
      </c>
      <c r="M172" s="113">
        <f>M48+M81+M112+M142</f>
        <v>4</v>
      </c>
      <c r="N172" s="105">
        <f>N48+N81+N112+N142</f>
        <v>0</v>
      </c>
      <c r="O172" s="104">
        <f>O48+O81+O112+O142</f>
        <v>0</v>
      </c>
      <c r="P172" s="105">
        <f>P48+P81+P112+P142</f>
        <v>0</v>
      </c>
      <c r="Q172" s="104">
        <f>Q48+Q81+Q112+Q142</f>
        <v>0</v>
      </c>
      <c r="R172" s="105">
        <f>R48+R81+R112+R142</f>
        <v>1</v>
      </c>
      <c r="S172" s="104">
        <f>S48+S81+S112+S142</f>
        <v>1</v>
      </c>
      <c r="T172" s="105">
        <f>T48+T81+T112+T142</f>
        <v>0</v>
      </c>
      <c r="U172" s="104">
        <f>U48+U81+U112+U142</f>
        <v>0</v>
      </c>
      <c r="V172" s="105">
        <f>V48+V81+V112+V142</f>
        <v>0</v>
      </c>
      <c r="W172" s="104">
        <f>W48+W81+W112+W142</f>
        <v>0</v>
      </c>
      <c r="X172" s="105">
        <f>X48+X81+X112+X142</f>
        <v>0</v>
      </c>
      <c r="Y172" s="104">
        <f>Y48+Y81+Y112+Y142</f>
        <v>0</v>
      </c>
      <c r="Z172" s="105">
        <f>Z48+Z81+Z112+Z142</f>
        <v>0</v>
      </c>
      <c r="AA172" s="140">
        <f>AA48+AA81+AA112+AA142</f>
        <v>0</v>
      </c>
      <c r="AB172" s="156">
        <f>SUM(D172:AA172)*$B$37/2</f>
        <v>1314</v>
      </c>
    </row>
    <row r="173" spans="2:31" ht="16" thickBot="1" x14ac:dyDescent="0.4">
      <c r="B173" s="350"/>
      <c r="C173" s="56" t="s">
        <v>28</v>
      </c>
      <c r="D173" s="105">
        <f>D49+D82+D113+D143</f>
        <v>0</v>
      </c>
      <c r="E173" s="104">
        <f>E49+E82+E113+E143</f>
        <v>0</v>
      </c>
      <c r="F173" s="105">
        <f>F49+F82+F113+F143</f>
        <v>0</v>
      </c>
      <c r="G173" s="104">
        <f>G49+G82+G113+G143</f>
        <v>0</v>
      </c>
      <c r="H173" s="105">
        <f>H49+H82+H113+H143</f>
        <v>0</v>
      </c>
      <c r="I173" s="104">
        <f>I49+I82+I113+I143</f>
        <v>0</v>
      </c>
      <c r="J173" s="105">
        <f>J49+J82+J113+J143</f>
        <v>0</v>
      </c>
      <c r="K173" s="105">
        <f>K49+K82+K113+K143</f>
        <v>0</v>
      </c>
      <c r="L173" s="105">
        <f>L49+L82+L113+L143</f>
        <v>0</v>
      </c>
      <c r="M173" s="104">
        <f>M49+M82+M113+M143</f>
        <v>0</v>
      </c>
      <c r="N173" s="112">
        <f>N49+N82+N113+N143</f>
        <v>4</v>
      </c>
      <c r="O173" s="112">
        <f>O49+O82+O113+O143</f>
        <v>4</v>
      </c>
      <c r="P173" s="112">
        <f>P49+P82+P113+P143</f>
        <v>4</v>
      </c>
      <c r="Q173" s="113">
        <f>Q49+Q82+Q113+Q143</f>
        <v>4</v>
      </c>
      <c r="R173" s="112">
        <f>R49+R82+R113+R143</f>
        <v>4</v>
      </c>
      <c r="S173" s="104">
        <f>S49+S82+S113+S143</f>
        <v>0</v>
      </c>
      <c r="T173" s="105">
        <f>T49+T82+T113+T143</f>
        <v>1</v>
      </c>
      <c r="U173" s="104">
        <f>U49+U82+U113+U143</f>
        <v>1</v>
      </c>
      <c r="V173" s="105">
        <f>V49+V82+V113+V143</f>
        <v>0</v>
      </c>
      <c r="W173" s="104">
        <f>W49+W82+W113+W143</f>
        <v>0</v>
      </c>
      <c r="X173" s="105">
        <f>X49+X82+X113+X143</f>
        <v>0</v>
      </c>
      <c r="Y173" s="104">
        <f>Y49+Y82+Y113+Y143</f>
        <v>0</v>
      </c>
      <c r="Z173" s="105">
        <f>Z49+Z82+Z113+Z143</f>
        <v>0</v>
      </c>
      <c r="AA173" s="140">
        <f>AA49+AA82+AA113+AA143</f>
        <v>0</v>
      </c>
      <c r="AB173" s="156">
        <f>SUM(D173:AA173)*$B$37/2</f>
        <v>1606</v>
      </c>
    </row>
    <row r="174" spans="2:31" ht="16" thickBot="1" x14ac:dyDescent="0.4">
      <c r="B174" s="351"/>
      <c r="C174" s="57" t="s">
        <v>22</v>
      </c>
      <c r="D174" s="106">
        <f>D50+D83+D114+D144</f>
        <v>0</v>
      </c>
      <c r="E174" s="109">
        <f>E50+E83+E114+E144</f>
        <v>0</v>
      </c>
      <c r="F174" s="106">
        <f>F50+F83+F114+F144</f>
        <v>0</v>
      </c>
      <c r="G174" s="109">
        <f>G50+G83+G114+G144</f>
        <v>0</v>
      </c>
      <c r="H174" s="106">
        <f>H50+H83+H114+H144</f>
        <v>0</v>
      </c>
      <c r="I174" s="109">
        <f>I50+I83+I114+I144</f>
        <v>0</v>
      </c>
      <c r="J174" s="106">
        <f>J50+J83+J114+J144</f>
        <v>0</v>
      </c>
      <c r="K174" s="106">
        <f>K50+K83+K114+K144</f>
        <v>0</v>
      </c>
      <c r="L174" s="106">
        <f>L50+L83+L114+L144</f>
        <v>0</v>
      </c>
      <c r="M174" s="109">
        <f>M50+M83+M114+M144</f>
        <v>0</v>
      </c>
      <c r="N174" s="106">
        <f>N50+N83+N114+N144</f>
        <v>0</v>
      </c>
      <c r="O174" s="106">
        <f>O50+O83+O114+O144</f>
        <v>0</v>
      </c>
      <c r="P174" s="106">
        <f>P50+P83+P114+P144</f>
        <v>0</v>
      </c>
      <c r="Q174" s="109">
        <f>Q50+Q83+Q114+Q144</f>
        <v>0</v>
      </c>
      <c r="R174" s="106">
        <f>R50+R83+R114+R144</f>
        <v>0</v>
      </c>
      <c r="S174" s="114">
        <f>S50+S83+S114+S144</f>
        <v>4</v>
      </c>
      <c r="T174" s="115">
        <f>T50+T83+T114+T144</f>
        <v>4</v>
      </c>
      <c r="U174" s="115">
        <f>U50+U83+U114+U144</f>
        <v>4</v>
      </c>
      <c r="V174" s="115">
        <f>V50+V83+V114+V144</f>
        <v>5</v>
      </c>
      <c r="W174" s="115">
        <f>W50+W83+W114+W144</f>
        <v>5</v>
      </c>
      <c r="X174" s="106">
        <f>X50+X83+X114+X144</f>
        <v>0</v>
      </c>
      <c r="Y174" s="109">
        <f>Y50+Y83+Y114+Y144</f>
        <v>0</v>
      </c>
      <c r="Z174" s="106">
        <f>Z50+Z83+Z114+Z144</f>
        <v>0</v>
      </c>
      <c r="AA174" s="141">
        <f>AA50+AA83+AA114+AA144</f>
        <v>0</v>
      </c>
      <c r="AB174" s="157">
        <f>SUM(D174:AA174)*$B$37/2</f>
        <v>1606</v>
      </c>
    </row>
    <row r="175" spans="2:31" ht="16.5" thickTop="1" thickBot="1" x14ac:dyDescent="0.4">
      <c r="B175" s="352">
        <v>2</v>
      </c>
      <c r="C175" s="60" t="s">
        <v>23</v>
      </c>
      <c r="D175" s="101">
        <f>D51+D84+D115+D145</f>
        <v>0</v>
      </c>
      <c r="E175" s="102">
        <f>E51+E84+E115+E145</f>
        <v>0</v>
      </c>
      <c r="F175" s="101">
        <f>F51+F84+F115+F145</f>
        <v>0</v>
      </c>
      <c r="G175" s="102">
        <f>G51+G84+G115+G145</f>
        <v>0</v>
      </c>
      <c r="H175" s="116">
        <f>H51+H84+H115+H145</f>
        <v>0</v>
      </c>
      <c r="I175" s="117">
        <f>I51+I84+I115+I145</f>
        <v>0</v>
      </c>
      <c r="J175" s="116">
        <f>J51+J84+J115+J145</f>
        <v>0</v>
      </c>
      <c r="K175" s="116">
        <f>K51+K84+K115+K145</f>
        <v>0</v>
      </c>
      <c r="L175" s="116">
        <f>L51+L84+L115+L145</f>
        <v>0</v>
      </c>
      <c r="M175" s="117">
        <f>M51+M84+M115+M145</f>
        <v>0</v>
      </c>
      <c r="N175" s="116">
        <f>N51+N84+N115+N145</f>
        <v>0</v>
      </c>
      <c r="O175" s="116">
        <f>O51+O84+O115+O145</f>
        <v>0</v>
      </c>
      <c r="P175" s="116">
        <f>P51+P84+P115+P145</f>
        <v>0</v>
      </c>
      <c r="Q175" s="117">
        <f>Q51+Q84+Q115+Q145</f>
        <v>0</v>
      </c>
      <c r="R175" s="116">
        <f>R51+R84+R115+R145</f>
        <v>0</v>
      </c>
      <c r="S175" s="117">
        <f>S51+S84+S115+S145</f>
        <v>0</v>
      </c>
      <c r="T175" s="101">
        <f>T51+T84+T115+T145</f>
        <v>0</v>
      </c>
      <c r="U175" s="101">
        <f>U51+U84+U115+U145</f>
        <v>0</v>
      </c>
      <c r="V175" s="101">
        <f>V51+V84+V115+V145</f>
        <v>0</v>
      </c>
      <c r="W175" s="101">
        <f>W51+W84+W115+W145</f>
        <v>0</v>
      </c>
      <c r="X175" s="101">
        <f>X51+X84+X115+X145</f>
        <v>0</v>
      </c>
      <c r="Y175" s="102">
        <f>Y51+Y84+Y115+Y145</f>
        <v>0</v>
      </c>
      <c r="Z175" s="101">
        <f>Z51+Z84+Z115+Z145</f>
        <v>0</v>
      </c>
      <c r="AA175" s="139">
        <f>AA51+AA84+AA115+AA145</f>
        <v>0</v>
      </c>
      <c r="AB175" s="155" t="e">
        <f>SUM(AB176:AB179)</f>
        <v>#REF!</v>
      </c>
    </row>
    <row r="176" spans="2:31" ht="16" thickBot="1" x14ac:dyDescent="0.4">
      <c r="B176" s="353"/>
      <c r="C176" s="63" t="s">
        <v>25</v>
      </c>
      <c r="D176" s="105">
        <f>D52+D85+D116+D146</f>
        <v>0</v>
      </c>
      <c r="E176" s="104">
        <f>E52+E85+E116+E146</f>
        <v>0</v>
      </c>
      <c r="F176" s="105">
        <f>F52+F85+F116+F146</f>
        <v>0</v>
      </c>
      <c r="G176" s="104">
        <f>G52+G85+G116+G146</f>
        <v>0</v>
      </c>
      <c r="H176" s="118">
        <f>H52+H85+H116+H146</f>
        <v>3</v>
      </c>
      <c r="I176" s="119">
        <f>I52+I85+I116+I146</f>
        <v>3</v>
      </c>
      <c r="J176" s="105">
        <f>J52+J85+J116+J146</f>
        <v>0</v>
      </c>
      <c r="K176" s="105">
        <f>K52+K85+K116+K146</f>
        <v>0</v>
      </c>
      <c r="L176" s="105">
        <f>L52+L85+L116+L146</f>
        <v>0</v>
      </c>
      <c r="M176" s="104">
        <f>M52+M85+M116+M146</f>
        <v>0</v>
      </c>
      <c r="N176" s="105">
        <f>N52+N85+N116+N146</f>
        <v>0</v>
      </c>
      <c r="O176" s="105">
        <f>O52+O85+O116+O146</f>
        <v>0</v>
      </c>
      <c r="P176" s="105">
        <f>P52+P85+P116+P146</f>
        <v>0</v>
      </c>
      <c r="Q176" s="104">
        <f>Q52+Q85+Q116+Q146</f>
        <v>0</v>
      </c>
      <c r="R176" s="105">
        <f>R52+R85+R116+R146</f>
        <v>0</v>
      </c>
      <c r="S176" s="104">
        <f>S52+S85+S116+S146</f>
        <v>0</v>
      </c>
      <c r="T176" s="105">
        <f>T52+T85+T116+T146</f>
        <v>0.7</v>
      </c>
      <c r="U176" s="105">
        <f>U52+U85+U116+U146</f>
        <v>0.5</v>
      </c>
      <c r="V176" s="105">
        <f>V52+V85+V116+V146</f>
        <v>0.5</v>
      </c>
      <c r="W176" s="105">
        <f>W52+W85+W116+W146</f>
        <v>0</v>
      </c>
      <c r="X176" s="105">
        <f>X52+X85+X116+X146</f>
        <v>0</v>
      </c>
      <c r="Y176" s="104">
        <f>Y52+Y85+Y116+Y146</f>
        <v>0</v>
      </c>
      <c r="Z176" s="105">
        <f>Z52+Z85+Z116+Z146</f>
        <v>0</v>
      </c>
      <c r="AA176" s="140">
        <f>AA52+AA85+AA116+AA146</f>
        <v>0</v>
      </c>
      <c r="AB176" s="156">
        <f>SUM(D176:AA176)*$B$37/2</f>
        <v>562.1</v>
      </c>
    </row>
    <row r="177" spans="2:32" ht="16" thickBot="1" x14ac:dyDescent="0.4">
      <c r="B177" s="353"/>
      <c r="C177" s="63" t="s">
        <v>26</v>
      </c>
      <c r="D177" s="105" t="e">
        <f>#REF!+#REF!+D117+D147</f>
        <v>#REF!</v>
      </c>
      <c r="E177" s="104" t="e">
        <f>#REF!+#REF!+E117+E147</f>
        <v>#REF!</v>
      </c>
      <c r="F177" s="105" t="e">
        <f>#REF!+#REF!+F117+F147</f>
        <v>#REF!</v>
      </c>
      <c r="G177" s="104" t="e">
        <f>#REF!+#REF!+G117+G147</f>
        <v>#REF!</v>
      </c>
      <c r="H177" s="105" t="e">
        <f>#REF!+#REF!+H117+H147</f>
        <v>#REF!</v>
      </c>
      <c r="I177" s="104" t="e">
        <f>#REF!+#REF!+I117+I147</f>
        <v>#REF!</v>
      </c>
      <c r="J177" s="118" t="e">
        <f>#REF!+#REF!+J117+J147</f>
        <v>#REF!</v>
      </c>
      <c r="K177" s="118" t="e">
        <f>#REF!+#REF!+K117+K147</f>
        <v>#REF!</v>
      </c>
      <c r="L177" s="118" t="e">
        <f>#REF!+#REF!+L117+L147</f>
        <v>#REF!</v>
      </c>
      <c r="M177" s="118" t="e">
        <f>#REF!+#REF!+M117+M147</f>
        <v>#REF!</v>
      </c>
      <c r="N177" s="118" t="e">
        <f>#REF!+#REF!+N117+N147</f>
        <v>#REF!</v>
      </c>
      <c r="O177" s="118" t="e">
        <f>#REF!+#REF!+O117+O147</f>
        <v>#REF!</v>
      </c>
      <c r="P177" s="118" t="e">
        <f>#REF!+#REF!+P117+P147</f>
        <v>#REF!</v>
      </c>
      <c r="Q177" s="104" t="e">
        <f>#REF!+#REF!+Q117+Q147</f>
        <v>#REF!</v>
      </c>
      <c r="R177" s="105" t="e">
        <f>#REF!+#REF!+R117+R147</f>
        <v>#REF!</v>
      </c>
      <c r="S177" s="104" t="e">
        <f>#REF!+#REF!+S117+S147</f>
        <v>#REF!</v>
      </c>
      <c r="T177" s="105" t="e">
        <f>#REF!+#REF!+T117+T147</f>
        <v>#REF!</v>
      </c>
      <c r="U177" s="105" t="e">
        <f>#REF!+#REF!+U117+U147</f>
        <v>#REF!</v>
      </c>
      <c r="V177" s="105" t="e">
        <f>#REF!+#REF!+V117+V147</f>
        <v>#REF!</v>
      </c>
      <c r="W177" s="105" t="e">
        <f>#REF!+#REF!+W117+W147</f>
        <v>#REF!</v>
      </c>
      <c r="X177" s="105" t="e">
        <f>#REF!+#REF!+X117+X147</f>
        <v>#REF!</v>
      </c>
      <c r="Y177" s="104" t="e">
        <f>#REF!+#REF!+Y117+Y147</f>
        <v>#REF!</v>
      </c>
      <c r="Z177" s="105" t="e">
        <f>#REF!+#REF!+Z117+Z147</f>
        <v>#REF!</v>
      </c>
      <c r="AA177" s="140" t="e">
        <f>#REF!+#REF!+AA117+AA147</f>
        <v>#REF!</v>
      </c>
      <c r="AB177" s="156" t="e">
        <f>SUM(D177:AA177)*$B$37/2</f>
        <v>#REF!</v>
      </c>
    </row>
    <row r="178" spans="2:32" ht="16" thickBot="1" x14ac:dyDescent="0.4">
      <c r="B178" s="353"/>
      <c r="C178" s="63" t="s">
        <v>27</v>
      </c>
      <c r="D178" s="105" t="e">
        <f>#REF!+#REF!+D118+D148</f>
        <v>#REF!</v>
      </c>
      <c r="E178" s="104" t="e">
        <f>#REF!+#REF!+E118+E148</f>
        <v>#REF!</v>
      </c>
      <c r="F178" s="105" t="e">
        <f>#REF!+#REF!+F118+F148</f>
        <v>#REF!</v>
      </c>
      <c r="G178" s="104" t="e">
        <f>#REF!+#REF!+G118+G148</f>
        <v>#REF!</v>
      </c>
      <c r="H178" s="105" t="e">
        <f>#REF!+#REF!+H118+H148</f>
        <v>#REF!</v>
      </c>
      <c r="I178" s="104" t="e">
        <f>#REF!+#REF!+I118+I148</f>
        <v>#REF!</v>
      </c>
      <c r="J178" s="105" t="e">
        <f>#REF!+#REF!+J118+J148</f>
        <v>#REF!</v>
      </c>
      <c r="K178" s="105" t="e">
        <f>#REF!+#REF!+K118+K148</f>
        <v>#REF!</v>
      </c>
      <c r="L178" s="105" t="e">
        <f>#REF!+#REF!+L118+L148</f>
        <v>#REF!</v>
      </c>
      <c r="M178" s="104" t="e">
        <f>#REF!+#REF!+M118+M148</f>
        <v>#REF!</v>
      </c>
      <c r="N178" s="105" t="e">
        <f>#REF!+#REF!+N118+N148</f>
        <v>#REF!</v>
      </c>
      <c r="O178" s="105" t="e">
        <f>#REF!+#REF!+O118+O148</f>
        <v>#REF!</v>
      </c>
      <c r="P178" s="105" t="e">
        <f>#REF!+#REF!+P118+P148</f>
        <v>#REF!</v>
      </c>
      <c r="Q178" s="119" t="e">
        <f>#REF!+#REF!+Q118+Q148</f>
        <v>#REF!</v>
      </c>
      <c r="R178" s="105" t="e">
        <f>#REF!+#REF!+R118+R148</f>
        <v>#REF!</v>
      </c>
      <c r="S178" s="104" t="e">
        <f>#REF!+#REF!+S118+S148</f>
        <v>#REF!</v>
      </c>
      <c r="T178" s="105" t="e">
        <f>#REF!+#REF!+T118+T148</f>
        <v>#REF!</v>
      </c>
      <c r="U178" s="105" t="e">
        <f>#REF!+#REF!+U118+U148</f>
        <v>#REF!</v>
      </c>
      <c r="V178" s="105" t="e">
        <f>#REF!+#REF!+V118+V148</f>
        <v>#REF!</v>
      </c>
      <c r="W178" s="105" t="e">
        <f>#REF!+#REF!+W118+W148</f>
        <v>#REF!</v>
      </c>
      <c r="X178" s="105" t="e">
        <f>#REF!+#REF!+X118+X148</f>
        <v>#REF!</v>
      </c>
      <c r="Y178" s="104" t="e">
        <f>#REF!+#REF!+Y118+Y148</f>
        <v>#REF!</v>
      </c>
      <c r="Z178" s="105" t="e">
        <f>#REF!+#REF!+Z118+Z148</f>
        <v>#REF!</v>
      </c>
      <c r="AA178" s="140" t="e">
        <f>#REF!+#REF!+AA118+AA148</f>
        <v>#REF!</v>
      </c>
      <c r="AB178" s="156" t="e">
        <f>SUM(D178:AA178)*$B$37/2</f>
        <v>#REF!</v>
      </c>
    </row>
    <row r="179" spans="2:32" ht="16" thickBot="1" x14ac:dyDescent="0.4">
      <c r="B179" s="354"/>
      <c r="C179" s="64" t="s">
        <v>29</v>
      </c>
      <c r="D179" s="106">
        <f>D53+D86+D119+D149</f>
        <v>0</v>
      </c>
      <c r="E179" s="109">
        <f>E53+E86+E119+E149</f>
        <v>0</v>
      </c>
      <c r="F179" s="106">
        <f>F53+F86+F119+F149</f>
        <v>0</v>
      </c>
      <c r="G179" s="109">
        <f>G53+G86+G119+G149</f>
        <v>0</v>
      </c>
      <c r="H179" s="106">
        <f>H53+H86+H119+H149</f>
        <v>0</v>
      </c>
      <c r="I179" s="109">
        <f>I53+I86+I119+I149</f>
        <v>0</v>
      </c>
      <c r="J179" s="106">
        <f>J53+J86+J119+J149</f>
        <v>0</v>
      </c>
      <c r="K179" s="106">
        <f>K53+K86+K119+K149</f>
        <v>0</v>
      </c>
      <c r="L179" s="106">
        <f>L53+L86+L119+L149</f>
        <v>0</v>
      </c>
      <c r="M179" s="109">
        <f>M53+M86+M119+M149</f>
        <v>0</v>
      </c>
      <c r="N179" s="106">
        <f>N53+N86+N119+N149</f>
        <v>0</v>
      </c>
      <c r="O179" s="106">
        <f>O53+O86+O119+O149</f>
        <v>0</v>
      </c>
      <c r="P179" s="106">
        <f>P53+P86+P119+P149</f>
        <v>0</v>
      </c>
      <c r="Q179" s="109">
        <f>Q53+Q86+Q119+Q149</f>
        <v>0</v>
      </c>
      <c r="R179" s="120">
        <f>R53+R86+R119+R149</f>
        <v>3</v>
      </c>
      <c r="S179" s="121">
        <f>S53+S86+S119+S149</f>
        <v>3</v>
      </c>
      <c r="T179" s="106">
        <f>T53+T86+T119+T149</f>
        <v>0</v>
      </c>
      <c r="U179" s="106">
        <f>U53+U86+U119+U149</f>
        <v>0</v>
      </c>
      <c r="V179" s="106">
        <f>V53+V86+V119+V149</f>
        <v>0</v>
      </c>
      <c r="W179" s="106">
        <f>W53+W86+W119+W149</f>
        <v>0.5</v>
      </c>
      <c r="X179" s="106">
        <f>X53+X86+X119+X149</f>
        <v>0</v>
      </c>
      <c r="Y179" s="109">
        <f>Y53+Y86+Y119+Y149</f>
        <v>0</v>
      </c>
      <c r="Z179" s="106">
        <f>Z53+Z86+Z119+Z149</f>
        <v>0</v>
      </c>
      <c r="AA179" s="141">
        <f>AA53+AA86+AA119+AA149</f>
        <v>0</v>
      </c>
      <c r="AB179" s="157">
        <f>SUM(D179:AA179)*$B$37/2</f>
        <v>474.5</v>
      </c>
      <c r="AF179" t="s">
        <v>42</v>
      </c>
    </row>
    <row r="180" spans="2:32" ht="16.5" thickTop="1" thickBot="1" x14ac:dyDescent="0.4">
      <c r="B180" s="355">
        <v>2</v>
      </c>
      <c r="C180" s="79" t="s">
        <v>30</v>
      </c>
      <c r="D180" s="101">
        <f>D54+D87+D120+D150</f>
        <v>0</v>
      </c>
      <c r="E180" s="102">
        <f>E54+E87+E120+E150</f>
        <v>0</v>
      </c>
      <c r="F180" s="101">
        <f>F54+F87+F120+F150</f>
        <v>0</v>
      </c>
      <c r="G180" s="102">
        <f>G54+G87+G120+G150</f>
        <v>0</v>
      </c>
      <c r="H180" s="101">
        <f>H54+H87+H120+H150</f>
        <v>0</v>
      </c>
      <c r="I180" s="102">
        <f>I54+I87+I120+I150</f>
        <v>0</v>
      </c>
      <c r="J180" s="101">
        <f>J54+J87+J120+J150</f>
        <v>0</v>
      </c>
      <c r="K180" s="101">
        <f>K54+K87+K120+K150</f>
        <v>0</v>
      </c>
      <c r="L180" s="101">
        <f>L54+L87+L120+L150</f>
        <v>0</v>
      </c>
      <c r="M180" s="102">
        <f>M54+M87+M120+M150</f>
        <v>0</v>
      </c>
      <c r="N180" s="101">
        <f>N54+N87+N120+N150</f>
        <v>0</v>
      </c>
      <c r="O180" s="101">
        <f>O54+O87+O120+O150</f>
        <v>0</v>
      </c>
      <c r="P180" s="101">
        <f>P54+P87+P120+P150</f>
        <v>0</v>
      </c>
      <c r="Q180" s="102">
        <f>Q54+Q87+Q120+Q150</f>
        <v>0</v>
      </c>
      <c r="R180" s="101">
        <f>R54+R87+R120+R150</f>
        <v>0</v>
      </c>
      <c r="S180" s="102">
        <f>S54+S87+S120+S150</f>
        <v>0</v>
      </c>
      <c r="T180" s="116">
        <f>T54+T87+T120+T150</f>
        <v>0</v>
      </c>
      <c r="U180" s="116">
        <f>U54+U87+U120+U150</f>
        <v>0</v>
      </c>
      <c r="V180" s="116">
        <f>V54+V87+V120+V150</f>
        <v>0</v>
      </c>
      <c r="W180" s="116">
        <f>W54+W87+W120+W150</f>
        <v>0</v>
      </c>
      <c r="X180" s="101">
        <f>X54+X87+X120+X150</f>
        <v>0</v>
      </c>
      <c r="Y180" s="102">
        <f>Y54+Y87+Y120+Y150</f>
        <v>0</v>
      </c>
      <c r="Z180" s="101">
        <f>Z54+Z87+Z120+Z150</f>
        <v>0</v>
      </c>
      <c r="AA180" s="139">
        <f>AA54+AA87+AA120+AA150</f>
        <v>0</v>
      </c>
      <c r="AB180" s="155">
        <f>SUM(AB181:AB182)</f>
        <v>1007.4</v>
      </c>
    </row>
    <row r="181" spans="2:32" ht="16" thickBot="1" x14ac:dyDescent="0.4">
      <c r="B181" s="356"/>
      <c r="C181" s="80" t="s">
        <v>40</v>
      </c>
      <c r="D181" s="122">
        <f>D57+D90+D121+D151</f>
        <v>0</v>
      </c>
      <c r="E181" s="123">
        <f>E57+E90+E121+E151</f>
        <v>0</v>
      </c>
      <c r="F181" s="122">
        <f>F57+F90+F121+F151</f>
        <v>0</v>
      </c>
      <c r="G181" s="123">
        <f>G57+G90+G121+G151</f>
        <v>0</v>
      </c>
      <c r="H181" s="122">
        <f>H57+H90+H121+H151</f>
        <v>0</v>
      </c>
      <c r="I181" s="123">
        <f>I57+I90+I121+I151</f>
        <v>0</v>
      </c>
      <c r="J181" s="122">
        <f>J57+J90+J121+J151</f>
        <v>0</v>
      </c>
      <c r="K181" s="122">
        <f>K57+K90+K121+K151</f>
        <v>0</v>
      </c>
      <c r="L181" s="122">
        <f>L57+L90+L121+L151</f>
        <v>0.4</v>
      </c>
      <c r="M181" s="123">
        <f>M57+M90+M121+M151</f>
        <v>0.4</v>
      </c>
      <c r="N181" s="122">
        <f>N57+N90+N121+N151</f>
        <v>0.4</v>
      </c>
      <c r="O181" s="122">
        <f>O57+O90+O121+O151</f>
        <v>0.4</v>
      </c>
      <c r="P181" s="122">
        <f>P57+P90+P121+P151</f>
        <v>0</v>
      </c>
      <c r="Q181" s="123">
        <f>Q57+Q90+Q121+Q151</f>
        <v>0</v>
      </c>
      <c r="R181" s="122">
        <f>R57+R90+R121+R151</f>
        <v>0</v>
      </c>
      <c r="S181" s="123">
        <f>S57+S90+S121+S151</f>
        <v>0</v>
      </c>
      <c r="T181" s="124">
        <f>T57+T90+T121+T151</f>
        <v>3</v>
      </c>
      <c r="U181" s="124">
        <f>U57+U90+U121+U151</f>
        <v>3</v>
      </c>
      <c r="V181" s="122">
        <f>V57+V90+V121+V151</f>
        <v>0</v>
      </c>
      <c r="W181" s="122">
        <f>W57+W90+W121+W151</f>
        <v>0</v>
      </c>
      <c r="X181" s="122">
        <f>X57+X90+X121+X151</f>
        <v>0</v>
      </c>
      <c r="Y181" s="123">
        <f>Y57+Y90+Y121+Y151</f>
        <v>0</v>
      </c>
      <c r="Z181" s="122">
        <f>Z57+Z90+Z121+Z151</f>
        <v>0</v>
      </c>
      <c r="AA181" s="142">
        <f>AA57+AA90+AA121+AA151</f>
        <v>0</v>
      </c>
      <c r="AB181" s="156">
        <f>SUM(D181:AA181)*$B$37/2</f>
        <v>554.79999999999995</v>
      </c>
    </row>
    <row r="182" spans="2:32" ht="16" thickBot="1" x14ac:dyDescent="0.4">
      <c r="B182" s="357"/>
      <c r="C182" s="82" t="s">
        <v>41</v>
      </c>
      <c r="D182" s="125">
        <f>D58+D91+D122+D152</f>
        <v>0</v>
      </c>
      <c r="E182" s="126">
        <f>E58+E91+E122+E152</f>
        <v>0</v>
      </c>
      <c r="F182" s="125">
        <f>F58+F91+F122+F152</f>
        <v>0</v>
      </c>
      <c r="G182" s="126">
        <f>G58+G91+G122+G152</f>
        <v>0</v>
      </c>
      <c r="H182" s="125">
        <f>H58+H91+H122+H152</f>
        <v>0</v>
      </c>
      <c r="I182" s="126">
        <f>I58+I91+I122+I152</f>
        <v>0</v>
      </c>
      <c r="J182" s="125">
        <f>J58+J91+J122+J152</f>
        <v>0</v>
      </c>
      <c r="K182" s="125">
        <f>K58+K91+K122+K152</f>
        <v>0</v>
      </c>
      <c r="L182" s="125">
        <f>L58+L91+L122+L152</f>
        <v>0</v>
      </c>
      <c r="M182" s="126">
        <f>M58+M91+M122+M152</f>
        <v>0</v>
      </c>
      <c r="N182" s="125">
        <f>N58+N91+N122+N152</f>
        <v>0</v>
      </c>
      <c r="O182" s="125">
        <f>O58+O91+O122+O152</f>
        <v>0</v>
      </c>
      <c r="P182" s="125">
        <f>P58+P91+P122+P152</f>
        <v>0.2</v>
      </c>
      <c r="Q182" s="126">
        <f>Q58+Q91+Q122+Q152</f>
        <v>0</v>
      </c>
      <c r="R182" s="125">
        <f>R58+R91+R122+R152</f>
        <v>0</v>
      </c>
      <c r="S182" s="126">
        <f>S58+S91+S122+S152</f>
        <v>0</v>
      </c>
      <c r="T182" s="125">
        <f>T58+T91+T122+T152</f>
        <v>0</v>
      </c>
      <c r="U182" s="125">
        <f>U58+U91+U122+U152</f>
        <v>0</v>
      </c>
      <c r="V182" s="127">
        <f>V58+V91+V122+V152</f>
        <v>3</v>
      </c>
      <c r="W182" s="127">
        <f>W58+W91+W122+W152</f>
        <v>3</v>
      </c>
      <c r="X182" s="125">
        <f>X58+X91+X122+X152</f>
        <v>0</v>
      </c>
      <c r="Y182" s="126">
        <f>Y58+Y91+Y122+Y152</f>
        <v>0</v>
      </c>
      <c r="Z182" s="125">
        <f>Z58+Z91+Z122+Z152</f>
        <v>0</v>
      </c>
      <c r="AA182" s="143">
        <f>AA58+AA91+AA122+AA152</f>
        <v>0</v>
      </c>
      <c r="AB182" s="157">
        <f>SUM(D182:AA182)*$B$37/2</f>
        <v>452.6</v>
      </c>
    </row>
    <row r="183" spans="2:32" ht="16.5" thickTop="1" thickBot="1" x14ac:dyDescent="0.4">
      <c r="B183" s="358">
        <v>3</v>
      </c>
      <c r="C183" s="71" t="s">
        <v>31</v>
      </c>
      <c r="D183" s="128">
        <f>D59+D92+D123+D153</f>
        <v>0</v>
      </c>
      <c r="E183" s="129">
        <f>E59+E92+E123+E153</f>
        <v>0</v>
      </c>
      <c r="F183" s="128">
        <f>F59+F92+F123+F153</f>
        <v>0</v>
      </c>
      <c r="G183" s="129">
        <f>G59+G92+G123+G153</f>
        <v>0</v>
      </c>
      <c r="H183" s="128">
        <f>H59+H92+H123+H153</f>
        <v>0</v>
      </c>
      <c r="I183" s="129">
        <f>I59+I92+I123+I153</f>
        <v>0</v>
      </c>
      <c r="J183" s="128">
        <f>J59+J92+J123+J153</f>
        <v>0</v>
      </c>
      <c r="K183" s="128">
        <f>K59+K92+K123+K153</f>
        <v>0</v>
      </c>
      <c r="L183" s="128">
        <f>L59+L92+L123+L153</f>
        <v>0</v>
      </c>
      <c r="M183" s="129">
        <f>M59+M92+M123+M153</f>
        <v>0</v>
      </c>
      <c r="N183" s="128">
        <f>N59+N92+N123+N153</f>
        <v>0</v>
      </c>
      <c r="O183" s="128">
        <f>O59+O92+O123+O153</f>
        <v>0</v>
      </c>
      <c r="P183" s="128">
        <f>P59+P92+P123+P153</f>
        <v>0</v>
      </c>
      <c r="Q183" s="129">
        <f>Q59+Q92+Q123+Q153</f>
        <v>0</v>
      </c>
      <c r="R183" s="128">
        <f>R59+R92+R123+R153</f>
        <v>0</v>
      </c>
      <c r="S183" s="129">
        <f>S59+S92+S123+S153</f>
        <v>0</v>
      </c>
      <c r="T183" s="130">
        <f>T59+T92+T123+T153</f>
        <v>0</v>
      </c>
      <c r="U183" s="130">
        <f>U59+U92+U123+U153</f>
        <v>0</v>
      </c>
      <c r="V183" s="130">
        <f>V59+V92+V123+V153</f>
        <v>0</v>
      </c>
      <c r="W183" s="130">
        <f>W59+W92+W123+W153</f>
        <v>0</v>
      </c>
      <c r="X183" s="128">
        <f>X59+X92+X123+X153</f>
        <v>0</v>
      </c>
      <c r="Y183" s="129">
        <f>Y59+Y92+Y123+Y153</f>
        <v>0</v>
      </c>
      <c r="Z183" s="128">
        <f>Z59+Z92+Z123+Z153</f>
        <v>0</v>
      </c>
      <c r="AA183" s="144">
        <f>AA59+AA92+AA123+AA153</f>
        <v>0</v>
      </c>
      <c r="AB183" s="155">
        <f>SUM(AB184:AB185)</f>
        <v>1080.4000000000001</v>
      </c>
    </row>
    <row r="184" spans="2:32" ht="16" thickBot="1" x14ac:dyDescent="0.4">
      <c r="B184" s="359"/>
      <c r="C184" s="75" t="s">
        <v>43</v>
      </c>
      <c r="D184" s="132">
        <f>D61+D94+D124+D154</f>
        <v>0</v>
      </c>
      <c r="E184" s="133">
        <f>E61+E94+E124+E154</f>
        <v>0</v>
      </c>
      <c r="F184" s="132">
        <f>F61+F94+F124+F154</f>
        <v>0</v>
      </c>
      <c r="G184" s="133">
        <f>G61+G94+G124+G154</f>
        <v>0</v>
      </c>
      <c r="H184" s="132">
        <f>H61+H94+H124+H154</f>
        <v>0</v>
      </c>
      <c r="I184" s="133">
        <f>I61+I94+I124+I154</f>
        <v>0</v>
      </c>
      <c r="J184" s="132">
        <f>J61+J94+J124+J154</f>
        <v>0</v>
      </c>
      <c r="K184" s="132">
        <f>K61+K94+K124+K154</f>
        <v>0</v>
      </c>
      <c r="L184" s="132">
        <f>L61+L94+L124+L154</f>
        <v>0</v>
      </c>
      <c r="M184" s="133">
        <f>M61+M94+M124+M154</f>
        <v>0</v>
      </c>
      <c r="N184" s="132">
        <f>N61+N94+N124+N154</f>
        <v>0</v>
      </c>
      <c r="O184" s="132">
        <f>O61+O94+O124+O154</f>
        <v>0</v>
      </c>
      <c r="P184" s="132">
        <f>P61+P94+P124+P154</f>
        <v>0</v>
      </c>
      <c r="Q184" s="133">
        <f>Q61+Q94+Q124+Q154</f>
        <v>0</v>
      </c>
      <c r="R184" s="132">
        <f>R61+R94+R124+R154</f>
        <v>0.5</v>
      </c>
      <c r="S184" s="133">
        <f>S61+S94+S124+S154</f>
        <v>0.5</v>
      </c>
      <c r="T184" s="134">
        <f>T61+T94+T124+T154</f>
        <v>3.3</v>
      </c>
      <c r="U184" s="134">
        <f>U61+U94+U124+U154</f>
        <v>3</v>
      </c>
      <c r="V184" s="132">
        <f>V61+V94+V124+V154</f>
        <v>0</v>
      </c>
      <c r="W184" s="132">
        <f>W61+W94+W124+W154</f>
        <v>0</v>
      </c>
      <c r="X184" s="132">
        <f>X61+X94+X124+X154</f>
        <v>0</v>
      </c>
      <c r="Y184" s="133">
        <f>Y61+Y94+Y124+Y154</f>
        <v>0</v>
      </c>
      <c r="Z184" s="132">
        <f>Z61+Z94+Z124+Z154</f>
        <v>0</v>
      </c>
      <c r="AA184" s="145">
        <f>AA61+AA94+AA124+AA154</f>
        <v>0</v>
      </c>
      <c r="AB184" s="156">
        <f>SUM(D184:AA184)*$B$37/2</f>
        <v>532.9</v>
      </c>
    </row>
    <row r="185" spans="2:32" ht="16" thickBot="1" x14ac:dyDescent="0.4">
      <c r="B185" s="360"/>
      <c r="C185" s="77" t="s">
        <v>44</v>
      </c>
      <c r="D185" s="106">
        <f>D62+D95+D125+D155</f>
        <v>0</v>
      </c>
      <c r="E185" s="109">
        <f>E62+E95+E125+E155</f>
        <v>0</v>
      </c>
      <c r="F185" s="106">
        <f>F62+F95+F125+F155</f>
        <v>0</v>
      </c>
      <c r="G185" s="109">
        <f>G62+G95+G125+G155</f>
        <v>0</v>
      </c>
      <c r="H185" s="106">
        <f>H62+H95+H125+H155</f>
        <v>0</v>
      </c>
      <c r="I185" s="109">
        <f>I62+I95+I125+I155</f>
        <v>0</v>
      </c>
      <c r="J185" s="106">
        <f>J62+J95+J125+J155</f>
        <v>0</v>
      </c>
      <c r="K185" s="106">
        <f>K62+K95+K125+K155</f>
        <v>0</v>
      </c>
      <c r="L185" s="106">
        <f>L62+L95+L125+L155</f>
        <v>0</v>
      </c>
      <c r="M185" s="109">
        <f>M62+M95+M125+M155</f>
        <v>0</v>
      </c>
      <c r="N185" s="106">
        <f>N62+N95+N125+N155</f>
        <v>0</v>
      </c>
      <c r="O185" s="106">
        <f>O62+O95+O125+O155</f>
        <v>0</v>
      </c>
      <c r="P185" s="106">
        <f>P62+P95+P125+P155</f>
        <v>0</v>
      </c>
      <c r="Q185" s="109">
        <f>Q62+Q95+Q125+Q155</f>
        <v>0</v>
      </c>
      <c r="R185" s="106">
        <f>R62+R95+R125+R155</f>
        <v>0</v>
      </c>
      <c r="S185" s="109">
        <f>S62+S95+S125+S155</f>
        <v>0</v>
      </c>
      <c r="T185" s="106">
        <f>T62+T95+T125+T155</f>
        <v>0</v>
      </c>
      <c r="U185" s="109">
        <f>U62+U95+U125+U155</f>
        <v>0.5</v>
      </c>
      <c r="V185" s="136">
        <f>V62+V95+V125+V155</f>
        <v>3.5</v>
      </c>
      <c r="W185" s="136">
        <f>W62+W95+W125+W155</f>
        <v>3.5</v>
      </c>
      <c r="X185" s="106">
        <f>X62+X95+X125+X155</f>
        <v>0</v>
      </c>
      <c r="Y185" s="109">
        <f>Y62+Y95+Y125+Y155</f>
        <v>0</v>
      </c>
      <c r="Z185" s="106">
        <f>Z62+Z95+Z125+Z155</f>
        <v>0</v>
      </c>
      <c r="AA185" s="141">
        <f>AA62+AA95+AA125+AA155</f>
        <v>0</v>
      </c>
      <c r="AB185" s="157">
        <f>SUM(D185:AA185)*$B$37/2</f>
        <v>547.5</v>
      </c>
    </row>
    <row r="186" spans="2:32" ht="16.5" thickTop="1" thickBot="1" x14ac:dyDescent="0.4">
      <c r="B186" s="358">
        <v>3</v>
      </c>
      <c r="C186" s="71" t="s">
        <v>32</v>
      </c>
      <c r="D186" s="128">
        <f>D63+D96+D126+D156</f>
        <v>0</v>
      </c>
      <c r="E186" s="129">
        <f>E63+E96+E126+E156</f>
        <v>0</v>
      </c>
      <c r="F186" s="128">
        <f>F63+F96+F126+F156</f>
        <v>0</v>
      </c>
      <c r="G186" s="129">
        <f>G63+G96+G126+G156</f>
        <v>0</v>
      </c>
      <c r="H186" s="130">
        <f>H63+H96+H126+H156</f>
        <v>0</v>
      </c>
      <c r="I186" s="131">
        <f>I63+I96+I126+I156</f>
        <v>0</v>
      </c>
      <c r="J186" s="130">
        <f>J63+J96+J126+J156</f>
        <v>0</v>
      </c>
      <c r="K186" s="130">
        <f>K63+K96+K126+K156</f>
        <v>0</v>
      </c>
      <c r="L186" s="130">
        <f>L63+L96+L126+L156</f>
        <v>0</v>
      </c>
      <c r="M186" s="131">
        <f>M63+M96+M126+M156</f>
        <v>0</v>
      </c>
      <c r="N186" s="130">
        <f>N63+N96+N126+N156</f>
        <v>0</v>
      </c>
      <c r="O186" s="130">
        <f>O63+O96+O126+O156</f>
        <v>0</v>
      </c>
      <c r="P186" s="130">
        <f>P63+P96+P126+P156</f>
        <v>0</v>
      </c>
      <c r="Q186" s="131">
        <f>Q63+Q96+Q126+Q156</f>
        <v>0</v>
      </c>
      <c r="R186" s="130">
        <f>R63+R96+R126+R156</f>
        <v>0</v>
      </c>
      <c r="S186" s="131">
        <f>S63+S96+S126+S156</f>
        <v>0</v>
      </c>
      <c r="T186" s="128">
        <f>T63+T96+T126+T156</f>
        <v>0</v>
      </c>
      <c r="U186" s="129">
        <f>U63+U96+U126+U156</f>
        <v>0</v>
      </c>
      <c r="V186" s="128">
        <f>V63+V96+V126+V156</f>
        <v>0</v>
      </c>
      <c r="W186" s="129">
        <f>W63+W96+W126+W156</f>
        <v>0</v>
      </c>
      <c r="X186" s="128">
        <f>X63+X96+X126+X156</f>
        <v>0</v>
      </c>
      <c r="Y186" s="129">
        <f>Y63+Y96+Y126+Y156</f>
        <v>0</v>
      </c>
      <c r="Z186" s="128">
        <f>Z63+Z96+Z126+Z156</f>
        <v>0</v>
      </c>
      <c r="AA186" s="144">
        <f>AA63+AA96+AA126+AA156</f>
        <v>0</v>
      </c>
      <c r="AB186" s="155">
        <f>SUM(AB187:AB189)</f>
        <v>3095.2</v>
      </c>
    </row>
    <row r="187" spans="2:32" ht="16" thickBot="1" x14ac:dyDescent="0.4">
      <c r="B187" s="359"/>
      <c r="C187" s="75" t="s">
        <v>36</v>
      </c>
      <c r="D187" s="132">
        <f>D64+D97+D127+D157</f>
        <v>0</v>
      </c>
      <c r="E187" s="133">
        <f>E64+E97+E127+E157</f>
        <v>0</v>
      </c>
      <c r="F187" s="132">
        <f>F64+F97+F127+F157</f>
        <v>0.6</v>
      </c>
      <c r="G187" s="133">
        <f>G64+G97+G127+G157</f>
        <v>0.4</v>
      </c>
      <c r="H187" s="134">
        <f>H64+H97+H127+H157</f>
        <v>3</v>
      </c>
      <c r="I187" s="135">
        <f>I64+I97+I127+I157</f>
        <v>3</v>
      </c>
      <c r="J187" s="134">
        <f>J64+J97+J127+J157</f>
        <v>3</v>
      </c>
      <c r="K187" s="134">
        <f>K64+K97+K127+K157</f>
        <v>3</v>
      </c>
      <c r="L187" s="134">
        <f>L64+L97+L127+L157</f>
        <v>3</v>
      </c>
      <c r="M187" s="133">
        <f>M64+M97+M127+M157</f>
        <v>0</v>
      </c>
      <c r="N187" s="132">
        <f>N64+N97+N127+N157</f>
        <v>0</v>
      </c>
      <c r="O187" s="132">
        <f>O64+O97+O127+O157</f>
        <v>0</v>
      </c>
      <c r="P187" s="132">
        <f>P64+P97+P127+P157</f>
        <v>0</v>
      </c>
      <c r="Q187" s="133">
        <f>Q64+Q97+Q127+Q157</f>
        <v>0</v>
      </c>
      <c r="R187" s="132">
        <f>R64+R97+R127+R157</f>
        <v>0</v>
      </c>
      <c r="S187" s="133">
        <f>S64+S97+S127+S157</f>
        <v>0</v>
      </c>
      <c r="T187" s="132">
        <f>T64+T97+T127+T157</f>
        <v>0</v>
      </c>
      <c r="U187" s="133">
        <f>U64+U97+U127+U157</f>
        <v>0</v>
      </c>
      <c r="V187" s="132">
        <f>V64+V97+V127+V157</f>
        <v>0</v>
      </c>
      <c r="W187" s="133">
        <f>W64+W97+W127+W157</f>
        <v>0</v>
      </c>
      <c r="X187" s="132">
        <f>X64+X97+X127+X157</f>
        <v>0</v>
      </c>
      <c r="Y187" s="133">
        <f>Y64+Y97+Y127+Y157</f>
        <v>0</v>
      </c>
      <c r="Z187" s="132">
        <f>Z64+Z97+Z127+Z157</f>
        <v>0</v>
      </c>
      <c r="AA187" s="145">
        <f>AA64+AA97+AA127+AA157</f>
        <v>0</v>
      </c>
      <c r="AB187" s="156">
        <f>SUM(D187:AA187)*$B$37/2</f>
        <v>1168</v>
      </c>
    </row>
    <row r="188" spans="2:32" ht="16" thickBot="1" x14ac:dyDescent="0.4">
      <c r="B188" s="359"/>
      <c r="C188" s="75" t="s">
        <v>37</v>
      </c>
      <c r="D188" s="132">
        <f>D66+D99+D128+D158</f>
        <v>0</v>
      </c>
      <c r="E188" s="133">
        <f>E66+E99+E128+E158</f>
        <v>0</v>
      </c>
      <c r="F188" s="132">
        <f>F66+F99+F128+F158</f>
        <v>0</v>
      </c>
      <c r="G188" s="133">
        <f>G66+G99+G128+G158</f>
        <v>0</v>
      </c>
      <c r="H188" s="132">
        <f>H66+H99+H128+H158</f>
        <v>0</v>
      </c>
      <c r="I188" s="133">
        <f>I66+I99+I128+I158</f>
        <v>0</v>
      </c>
      <c r="J188" s="132">
        <f>J66+J99+J128+J158</f>
        <v>0</v>
      </c>
      <c r="K188" s="133">
        <f>K66+K99+K128+K158</f>
        <v>0.6</v>
      </c>
      <c r="L188" s="132">
        <f>L66+L99+L128+L158</f>
        <v>0.6</v>
      </c>
      <c r="M188" s="135">
        <f>M66+M99+M128+M158</f>
        <v>3.6</v>
      </c>
      <c r="N188" s="134">
        <f>N66+N99+N128+N158</f>
        <v>3.6</v>
      </c>
      <c r="O188" s="134">
        <f>O66+O99+O128+O158</f>
        <v>3.6</v>
      </c>
      <c r="P188" s="134">
        <f>P66+P99+P128+P158</f>
        <v>3</v>
      </c>
      <c r="Q188" s="133">
        <f>Q66+Q99+Q128+Q158</f>
        <v>0</v>
      </c>
      <c r="R188" s="132">
        <f>R66+R99+R128+R158</f>
        <v>0</v>
      </c>
      <c r="S188" s="133">
        <f>S66+S99+S128+S158</f>
        <v>0</v>
      </c>
      <c r="T188" s="132">
        <f>T66+T99+T128+T158</f>
        <v>0</v>
      </c>
      <c r="U188" s="133">
        <f>U66+U99+U128+U158</f>
        <v>0</v>
      </c>
      <c r="V188" s="132">
        <f>V66+V99+V128+V158</f>
        <v>0</v>
      </c>
      <c r="W188" s="133">
        <f>W66+W99+W128+W158</f>
        <v>0</v>
      </c>
      <c r="X188" s="132">
        <f>X66+X99+X128+X158</f>
        <v>0</v>
      </c>
      <c r="Y188" s="133">
        <f>Y66+Y99+Y128+Y158</f>
        <v>0</v>
      </c>
      <c r="Z188" s="132">
        <f>Z66+Z99+Z128+Z158</f>
        <v>0</v>
      </c>
      <c r="AA188" s="145">
        <f>AA66+AA99+AA128+AA158</f>
        <v>0</v>
      </c>
      <c r="AB188" s="156">
        <f>SUM(D188:AA188)*$B$37/2</f>
        <v>1095</v>
      </c>
    </row>
    <row r="189" spans="2:32" ht="16" thickBot="1" x14ac:dyDescent="0.4">
      <c r="B189" s="359"/>
      <c r="C189" s="77" t="s">
        <v>38</v>
      </c>
      <c r="D189" s="106">
        <f>D67+D100+D129+D159</f>
        <v>0</v>
      </c>
      <c r="E189" s="109">
        <f>E67+E100+E129+E159</f>
        <v>0</v>
      </c>
      <c r="F189" s="106">
        <f>F67+F100+F129+F159</f>
        <v>0</v>
      </c>
      <c r="G189" s="109">
        <f>G67+G100+G129+G159</f>
        <v>0</v>
      </c>
      <c r="H189" s="106">
        <f>H67+H100+H129+H159</f>
        <v>0</v>
      </c>
      <c r="I189" s="109">
        <f>I67+I100+I129+I159</f>
        <v>0</v>
      </c>
      <c r="J189" s="106">
        <f>J67+J100+J129+J159</f>
        <v>0</v>
      </c>
      <c r="K189" s="109">
        <f>K67+K100+K129+K159</f>
        <v>0</v>
      </c>
      <c r="L189" s="106">
        <f>L67+L100+L129+L159</f>
        <v>0</v>
      </c>
      <c r="M189" s="109">
        <f>M67+M100+M129+M159</f>
        <v>0</v>
      </c>
      <c r="N189" s="106">
        <f>N67+N100+N129+N159</f>
        <v>0</v>
      </c>
      <c r="O189" s="109">
        <f>O67+O100+O129+O159</f>
        <v>0</v>
      </c>
      <c r="P189" s="106">
        <f>P67+P100+P129+P159</f>
        <v>0.8</v>
      </c>
      <c r="Q189" s="137">
        <f>Q67+Q100+Q129+Q159</f>
        <v>3.6</v>
      </c>
      <c r="R189" s="136">
        <f>R67+R100+R129+R159</f>
        <v>3.5</v>
      </c>
      <c r="S189" s="137">
        <f>S67+S100+S129+S159</f>
        <v>3.5</v>
      </c>
      <c r="T189" s="106">
        <f>T67+T100+T129+T159</f>
        <v>0</v>
      </c>
      <c r="U189" s="109">
        <f>U67+U100+U129+U159</f>
        <v>0</v>
      </c>
      <c r="V189" s="106">
        <f>V67+V100+V129+V159</f>
        <v>0</v>
      </c>
      <c r="W189" s="109">
        <f>W67+W100+W129+W159</f>
        <v>0</v>
      </c>
      <c r="X189" s="106">
        <f>X67+X100+X129+X159</f>
        <v>0</v>
      </c>
      <c r="Y189" s="109">
        <f>Y67+Y100+Y129+Y159</f>
        <v>0</v>
      </c>
      <c r="Z189" s="106">
        <f>Z67+Z100+Z129+Z159</f>
        <v>0</v>
      </c>
      <c r="AA189" s="141">
        <f>AA67+AA100+AA129+AA159</f>
        <v>0</v>
      </c>
      <c r="AB189" s="157">
        <f>SUM(D189:AA189)*$B$37/2</f>
        <v>832.2</v>
      </c>
    </row>
    <row r="190" spans="2:32" ht="16.5" thickTop="1" thickBot="1" x14ac:dyDescent="0.4">
      <c r="B190" s="364">
        <v>0</v>
      </c>
      <c r="C190" s="361" t="s">
        <v>33</v>
      </c>
      <c r="D190" s="101">
        <f>D68+D101+D130+D160</f>
        <v>0</v>
      </c>
      <c r="E190" s="102">
        <f>E68+E101+E130+E160</f>
        <v>0</v>
      </c>
      <c r="F190" s="101">
        <f>F68+F101+F130+F160</f>
        <v>0</v>
      </c>
      <c r="G190" s="102">
        <f>G68+G101+G130+G160</f>
        <v>0</v>
      </c>
      <c r="H190" s="101">
        <f>H68+H101+H130+H160</f>
        <v>0</v>
      </c>
      <c r="I190" s="102">
        <f>I68+I101+I130+I160</f>
        <v>0</v>
      </c>
      <c r="J190" s="101">
        <f>J68+J101+J130+J160</f>
        <v>0</v>
      </c>
      <c r="K190" s="102">
        <f>K68+K101+K130+K160</f>
        <v>0</v>
      </c>
      <c r="L190" s="101">
        <f>L68+L101+L130+L160</f>
        <v>0</v>
      </c>
      <c r="M190" s="102">
        <f>M68+M101+M130+M160</f>
        <v>0</v>
      </c>
      <c r="N190" s="101">
        <f>N68+N101+N130+N160</f>
        <v>0</v>
      </c>
      <c r="O190" s="102">
        <f>O68+O101+O130+O160</f>
        <v>0</v>
      </c>
      <c r="P190" s="101">
        <f>P68+P101+P130+P160</f>
        <v>0</v>
      </c>
      <c r="Q190" s="102">
        <f>Q68+Q101+Q130+Q160</f>
        <v>0</v>
      </c>
      <c r="R190" s="101">
        <f>R68+R101+R130+R160</f>
        <v>0</v>
      </c>
      <c r="S190" s="102">
        <f>S68+S101+S130+S160</f>
        <v>0</v>
      </c>
      <c r="T190" s="101">
        <f>T68+T101+T130+T160</f>
        <v>0</v>
      </c>
      <c r="U190" s="102">
        <f>U68+U101+U130+U160</f>
        <v>0</v>
      </c>
      <c r="V190" s="101">
        <f>V68+V101+V130+V160</f>
        <v>0</v>
      </c>
      <c r="W190" s="102">
        <f>W68+W101+W130+W160</f>
        <v>0</v>
      </c>
      <c r="X190" s="99">
        <f>X68+X101+X130+X160</f>
        <v>0</v>
      </c>
      <c r="Y190" s="100">
        <f>Y68+Y101+Y130+Y160</f>
        <v>0</v>
      </c>
      <c r="Z190" s="99">
        <f>Z68+Z101+Z130+Z160</f>
        <v>0</v>
      </c>
      <c r="AA190" s="146">
        <f>AA68+AA101+AA130+AA160</f>
        <v>0</v>
      </c>
      <c r="AB190" s="155">
        <f>SUM(AB191:AB192)</f>
        <v>3504</v>
      </c>
    </row>
    <row r="191" spans="2:32" ht="16" thickBot="1" x14ac:dyDescent="0.4">
      <c r="B191" s="365"/>
      <c r="C191" s="362" t="s">
        <v>34</v>
      </c>
      <c r="D191" s="105">
        <f>D69+D102+D131+D161</f>
        <v>0</v>
      </c>
      <c r="E191" s="104">
        <f>E69+E102+E131+E161</f>
        <v>0</v>
      </c>
      <c r="F191" s="105">
        <f>F69+F102+F131+F161</f>
        <v>0</v>
      </c>
      <c r="G191" s="104">
        <f>G69+G102+G131+G161</f>
        <v>0</v>
      </c>
      <c r="H191" s="105">
        <f>H69+H102+H131+H161</f>
        <v>0</v>
      </c>
      <c r="I191" s="104">
        <f>I69+I102+I131+I161</f>
        <v>0</v>
      </c>
      <c r="J191" s="105">
        <f>J69+J102+J131+J161</f>
        <v>0</v>
      </c>
      <c r="K191" s="104">
        <f>K69+K102+K131+K161</f>
        <v>0</v>
      </c>
      <c r="L191" s="105">
        <f>L69+L102+L131+L161</f>
        <v>0</v>
      </c>
      <c r="M191" s="104">
        <f>M69+M102+M131+M161</f>
        <v>0</v>
      </c>
      <c r="N191" s="105">
        <f>N69+N102+N131+N161</f>
        <v>0</v>
      </c>
      <c r="O191" s="104">
        <f>O69+O102+O131+O161</f>
        <v>0</v>
      </c>
      <c r="P191" s="105">
        <f>P69+P102+P131+P161</f>
        <v>0</v>
      </c>
      <c r="Q191" s="104">
        <f>Q69+Q102+Q131+Q161</f>
        <v>0</v>
      </c>
      <c r="R191" s="105">
        <f>R69+R102+R131+R161</f>
        <v>0</v>
      </c>
      <c r="S191" s="104">
        <f>S69+S102+S131+S161</f>
        <v>0</v>
      </c>
      <c r="T191" s="105">
        <f>T69+T102+T131+T161</f>
        <v>0</v>
      </c>
      <c r="U191" s="104">
        <f>U69+U102+U131+U161</f>
        <v>0</v>
      </c>
      <c r="V191" s="105">
        <f>V69+V102+V131+V161</f>
        <v>0</v>
      </c>
      <c r="W191" s="104">
        <f>W69+W102+W131+W161</f>
        <v>0</v>
      </c>
      <c r="X191" s="103">
        <f>X69+X102+X131+X161</f>
        <v>12</v>
      </c>
      <c r="Y191" s="138">
        <f>Y69+Y102+Y131+Y161</f>
        <v>12</v>
      </c>
      <c r="Z191" s="103">
        <f>Z69+Z102+Z131+Z161</f>
        <v>10</v>
      </c>
      <c r="AA191" s="140">
        <f>AA69+AA102+AA131+AA161</f>
        <v>0</v>
      </c>
      <c r="AB191" s="156">
        <f>SUM(D191:AA191)*$B$37/2</f>
        <v>2482</v>
      </c>
    </row>
    <row r="192" spans="2:32" ht="16" thickBot="1" x14ac:dyDescent="0.4">
      <c r="B192" s="365"/>
      <c r="C192" s="363" t="s">
        <v>35</v>
      </c>
      <c r="D192" s="132">
        <f>D70+D103+D132+D162</f>
        <v>0</v>
      </c>
      <c r="E192" s="133">
        <f>E70+E103+E132+E162</f>
        <v>0</v>
      </c>
      <c r="F192" s="132">
        <f>F70+F103+F132+F162</f>
        <v>0</v>
      </c>
      <c r="G192" s="133">
        <f>G70+G103+G132+G162</f>
        <v>0</v>
      </c>
      <c r="H192" s="132">
        <f>H70+H103+H132+H162</f>
        <v>0</v>
      </c>
      <c r="I192" s="133">
        <f>I70+I103+I132+I162</f>
        <v>0</v>
      </c>
      <c r="J192" s="132">
        <f>J70+J103+J132+J162</f>
        <v>0</v>
      </c>
      <c r="K192" s="133">
        <f>K70+K103+K132+K162</f>
        <v>0</v>
      </c>
      <c r="L192" s="132">
        <f>L70+L103+L132+L162</f>
        <v>0</v>
      </c>
      <c r="M192" s="133">
        <f>M70+M103+M132+M162</f>
        <v>0</v>
      </c>
      <c r="N192" s="132">
        <f>N70+N103+N132+N162</f>
        <v>0</v>
      </c>
      <c r="O192" s="133">
        <f>O70+O103+O132+O162</f>
        <v>0</v>
      </c>
      <c r="P192" s="132">
        <f>P70+P103+P132+P162</f>
        <v>0</v>
      </c>
      <c r="Q192" s="133">
        <f>Q70+Q103+Q132+Q162</f>
        <v>0</v>
      </c>
      <c r="R192" s="132">
        <f>R70+R103+R132+R162</f>
        <v>0</v>
      </c>
      <c r="S192" s="133">
        <f>S70+S103+S132+S162</f>
        <v>0</v>
      </c>
      <c r="T192" s="132">
        <f>T70+T103+T132+T162</f>
        <v>0</v>
      </c>
      <c r="U192" s="133">
        <f>U70+U103+U132+U162</f>
        <v>0</v>
      </c>
      <c r="V192" s="132">
        <f>V70+V103+V132+V162</f>
        <v>0</v>
      </c>
      <c r="W192" s="133">
        <f>W70+W103+W132+W162</f>
        <v>0</v>
      </c>
      <c r="X192" s="132">
        <f>X70+X103+X132+X162</f>
        <v>0</v>
      </c>
      <c r="Y192" s="133">
        <f>Y70+Y103+Y132+Y162</f>
        <v>0</v>
      </c>
      <c r="Z192" s="132">
        <f>Z70+Z103+Z132+Z162</f>
        <v>2</v>
      </c>
      <c r="AA192" s="147">
        <f>AA70+AA103+AA132+AA162</f>
        <v>12</v>
      </c>
      <c r="AB192" s="157">
        <f>SUM(D192:AA192)*$B$37/2</f>
        <v>1022</v>
      </c>
      <c r="AE192" t="s">
        <v>42</v>
      </c>
    </row>
    <row r="193" spans="3:28" ht="16.5" thickTop="1" thickBot="1" x14ac:dyDescent="0.4">
      <c r="C193" s="148" t="s">
        <v>9</v>
      </c>
      <c r="D193" s="149" t="e">
        <f t="shared" ref="D193:AA193" si="3">SUM(D167:D192)</f>
        <v>#REF!</v>
      </c>
      <c r="E193" s="150" t="e">
        <f t="shared" si="3"/>
        <v>#REF!</v>
      </c>
      <c r="F193" s="150" t="e">
        <f t="shared" si="3"/>
        <v>#REF!</v>
      </c>
      <c r="G193" s="150" t="e">
        <f t="shared" si="3"/>
        <v>#REF!</v>
      </c>
      <c r="H193" s="150" t="e">
        <f t="shared" si="3"/>
        <v>#REF!</v>
      </c>
      <c r="I193" s="150" t="e">
        <f t="shared" si="3"/>
        <v>#REF!</v>
      </c>
      <c r="J193" s="150" t="e">
        <f t="shared" si="3"/>
        <v>#REF!</v>
      </c>
      <c r="K193" s="150" t="e">
        <f t="shared" si="3"/>
        <v>#REF!</v>
      </c>
      <c r="L193" s="150" t="e">
        <f t="shared" si="3"/>
        <v>#REF!</v>
      </c>
      <c r="M193" s="150" t="e">
        <f t="shared" si="3"/>
        <v>#REF!</v>
      </c>
      <c r="N193" s="150" t="e">
        <f t="shared" si="3"/>
        <v>#REF!</v>
      </c>
      <c r="O193" s="150" t="e">
        <f t="shared" si="3"/>
        <v>#REF!</v>
      </c>
      <c r="P193" s="150" t="e">
        <f t="shared" si="3"/>
        <v>#REF!</v>
      </c>
      <c r="Q193" s="150" t="e">
        <f t="shared" si="3"/>
        <v>#REF!</v>
      </c>
      <c r="R193" s="150" t="e">
        <f t="shared" si="3"/>
        <v>#REF!</v>
      </c>
      <c r="S193" s="150" t="e">
        <f t="shared" si="3"/>
        <v>#REF!</v>
      </c>
      <c r="T193" s="150" t="e">
        <f t="shared" si="3"/>
        <v>#REF!</v>
      </c>
      <c r="U193" s="150" t="e">
        <f t="shared" si="3"/>
        <v>#REF!</v>
      </c>
      <c r="V193" s="150" t="e">
        <f t="shared" si="3"/>
        <v>#REF!</v>
      </c>
      <c r="W193" s="150" t="e">
        <f t="shared" si="3"/>
        <v>#REF!</v>
      </c>
      <c r="X193" s="150" t="e">
        <f t="shared" si="3"/>
        <v>#REF!</v>
      </c>
      <c r="Y193" s="150" t="e">
        <f t="shared" si="3"/>
        <v>#REF!</v>
      </c>
      <c r="Z193" s="150" t="e">
        <f t="shared" si="3"/>
        <v>#REF!</v>
      </c>
      <c r="AA193" s="151" t="e">
        <f t="shared" si="3"/>
        <v>#REF!</v>
      </c>
      <c r="AB193" s="158" t="e">
        <f>AB167+AB170+AB175+AB180+AB183+AB186+AB190</f>
        <v>#REF!</v>
      </c>
    </row>
    <row r="194" spans="3:28" ht="16" thickTop="1" x14ac:dyDescent="0.35"/>
  </sheetData>
  <mergeCells count="72">
    <mergeCell ref="Z4:AA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0:AA40"/>
    <mergeCell ref="D40:E40"/>
    <mergeCell ref="F40:G40"/>
    <mergeCell ref="H40:I40"/>
    <mergeCell ref="J40:K40"/>
    <mergeCell ref="L40:M40"/>
    <mergeCell ref="N40:O40"/>
    <mergeCell ref="P40:Q40"/>
    <mergeCell ref="R40:S40"/>
    <mergeCell ref="T40:U40"/>
    <mergeCell ref="V40:W40"/>
    <mergeCell ref="X40:Y40"/>
    <mergeCell ref="Z73:AA73"/>
    <mergeCell ref="D73:E73"/>
    <mergeCell ref="F73:G73"/>
    <mergeCell ref="H73:I73"/>
    <mergeCell ref="J73:K73"/>
    <mergeCell ref="L73:M73"/>
    <mergeCell ref="N73:O73"/>
    <mergeCell ref="P73:Q73"/>
    <mergeCell ref="R73:S73"/>
    <mergeCell ref="T73:U73"/>
    <mergeCell ref="V73:W73"/>
    <mergeCell ref="X73:Y73"/>
    <mergeCell ref="Z106:AA106"/>
    <mergeCell ref="D106:E106"/>
    <mergeCell ref="F106:G106"/>
    <mergeCell ref="H106:I106"/>
    <mergeCell ref="J106:K106"/>
    <mergeCell ref="L106:M106"/>
    <mergeCell ref="N106:O106"/>
    <mergeCell ref="P106:Q106"/>
    <mergeCell ref="R106:S106"/>
    <mergeCell ref="T106:U106"/>
    <mergeCell ref="V106:W106"/>
    <mergeCell ref="X106:Y106"/>
    <mergeCell ref="Z136:AA136"/>
    <mergeCell ref="D136:E136"/>
    <mergeCell ref="F136:G136"/>
    <mergeCell ref="H136:I136"/>
    <mergeCell ref="J136:K136"/>
    <mergeCell ref="L136:M136"/>
    <mergeCell ref="N136:O136"/>
    <mergeCell ref="P136:Q136"/>
    <mergeCell ref="R136:S136"/>
    <mergeCell ref="T136:U136"/>
    <mergeCell ref="V136:W136"/>
    <mergeCell ref="X136:Y136"/>
    <mergeCell ref="Z166:AA166"/>
    <mergeCell ref="D166:E166"/>
    <mergeCell ref="F166:G166"/>
    <mergeCell ref="H166:I166"/>
    <mergeCell ref="J166:K166"/>
    <mergeCell ref="L166:M166"/>
    <mergeCell ref="N166:O166"/>
    <mergeCell ref="P166:Q166"/>
    <mergeCell ref="R166:S166"/>
    <mergeCell ref="T166:U166"/>
    <mergeCell ref="V166:W166"/>
    <mergeCell ref="X166:Y166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A2FB3-981A-7042-AE64-10A400DEB32A}">
  <dimension ref="B2:J9"/>
  <sheetViews>
    <sheetView topLeftCell="A2" zoomScaleNormal="100" workbookViewId="0">
      <selection activeCell="D5" sqref="D5"/>
    </sheetView>
  </sheetViews>
  <sheetFormatPr defaultColWidth="10.6640625" defaultRowHeight="15.5" x14ac:dyDescent="0.35"/>
  <cols>
    <col min="1" max="1" width="6" customWidth="1"/>
    <col min="2" max="2" width="7.6640625" style="345" customWidth="1"/>
    <col min="3" max="3" width="9.33203125" style="345" customWidth="1"/>
    <col min="5" max="5" width="31.1640625" customWidth="1"/>
    <col min="6" max="6" width="9" style="345" customWidth="1"/>
    <col min="8" max="8" width="14.33203125" bestFit="1" customWidth="1"/>
    <col min="9" max="10" width="12.6640625" bestFit="1" customWidth="1"/>
  </cols>
  <sheetData>
    <row r="2" spans="2:10" ht="16" thickBot="1" x14ac:dyDescent="0.4"/>
    <row r="3" spans="2:10" s="366" customFormat="1" ht="31.5" thickBot="1" x14ac:dyDescent="0.4">
      <c r="B3" s="367" t="s">
        <v>127</v>
      </c>
      <c r="C3" s="273" t="s">
        <v>128</v>
      </c>
      <c r="D3" s="273" t="s">
        <v>129</v>
      </c>
      <c r="E3" s="273" t="s">
        <v>130</v>
      </c>
      <c r="F3" s="273" t="s">
        <v>45</v>
      </c>
      <c r="G3" s="257" t="s">
        <v>131</v>
      </c>
    </row>
    <row r="4" spans="2:10" s="245" customFormat="1" ht="62" x14ac:dyDescent="0.35">
      <c r="B4" s="481">
        <v>0</v>
      </c>
      <c r="C4" s="482">
        <v>13</v>
      </c>
      <c r="D4" s="483" t="s">
        <v>165</v>
      </c>
      <c r="E4" s="483" t="s">
        <v>133</v>
      </c>
      <c r="F4" s="484">
        <f>SUMIF('Plan Fase 1'!B$167:B$192,'Gruppi Fase 1'!B4,'Plan Fase 1'!AB$167:AB$192)</f>
        <v>6278</v>
      </c>
      <c r="G4" s="485">
        <f>F4/'Plan Fase 1'!B$36</f>
        <v>3.5833333333333335</v>
      </c>
    </row>
    <row r="5" spans="2:10" s="245" customFormat="1" ht="62" x14ac:dyDescent="0.35">
      <c r="B5" s="476">
        <v>1</v>
      </c>
      <c r="C5" s="477">
        <v>6</v>
      </c>
      <c r="D5" s="478" t="s">
        <v>170</v>
      </c>
      <c r="E5" s="478" t="s">
        <v>168</v>
      </c>
      <c r="F5" s="479">
        <f>SUMIF('Plan Fase 1'!B$167:B$192,'Gruppi Fase 1'!B5,'Plan Fase 1'!AB$167:AB$192)</f>
        <v>5256</v>
      </c>
      <c r="G5" s="480">
        <f>F5/'Plan Fase 1'!B$36</f>
        <v>3</v>
      </c>
    </row>
    <row r="6" spans="2:10" s="245" customFormat="1" ht="62" x14ac:dyDescent="0.35">
      <c r="B6" s="466">
        <v>2</v>
      </c>
      <c r="C6" s="467">
        <v>3.5</v>
      </c>
      <c r="D6" s="468" t="s">
        <v>171</v>
      </c>
      <c r="E6" s="468" t="s">
        <v>167</v>
      </c>
      <c r="F6" s="469" t="e">
        <f>SUMIF('Plan Fase 1'!B$167:B$192,'Gruppi Fase 1'!B6,'Plan Fase 1'!AB$167:AB$192)</f>
        <v>#REF!</v>
      </c>
      <c r="G6" s="470" t="e">
        <f>F6/'Plan Fase 1'!B$36</f>
        <v>#REF!</v>
      </c>
    </row>
    <row r="7" spans="2:10" s="245" customFormat="1" ht="62.5" thickBot="1" x14ac:dyDescent="0.4">
      <c r="B7" s="471">
        <v>3</v>
      </c>
      <c r="C7" s="472">
        <v>3.5</v>
      </c>
      <c r="D7" s="473" t="s">
        <v>171</v>
      </c>
      <c r="E7" s="473" t="s">
        <v>166</v>
      </c>
      <c r="F7" s="474">
        <f>SUMIF('Plan Fase 1'!B$167:B$192,'Gruppi Fase 1'!B7,'Plan Fase 1'!AB$167:AB$192)</f>
        <v>4175.6000000000004</v>
      </c>
      <c r="G7" s="475">
        <f>F7/'Plan Fase 1'!B$36</f>
        <v>2.3833333333333337</v>
      </c>
    </row>
    <row r="8" spans="2:10" s="13" customFormat="1" ht="140" thickBot="1" x14ac:dyDescent="0.4">
      <c r="B8" s="367" t="s">
        <v>9</v>
      </c>
      <c r="C8" s="273">
        <v>13</v>
      </c>
      <c r="D8" s="368" t="s">
        <v>165</v>
      </c>
      <c r="E8" s="368" t="s">
        <v>169</v>
      </c>
      <c r="F8" s="240" t="e">
        <f>SUM(F4:F7)</f>
        <v>#REF!</v>
      </c>
      <c r="G8" s="369" t="e">
        <f>F8/'Plan Fase 1'!B$36</f>
        <v>#REF!</v>
      </c>
      <c r="H8" s="400"/>
      <c r="J8" s="401"/>
    </row>
    <row r="9" spans="2:10" x14ac:dyDescent="0.35">
      <c r="H9" s="267"/>
      <c r="I9" s="401"/>
      <c r="J9" s="26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80E04-F40C-F44B-8032-7F7710711FC6}">
  <dimension ref="A2:AC58"/>
  <sheetViews>
    <sheetView topLeftCell="A13" zoomScale="130" zoomScaleNormal="130" workbookViewId="0">
      <selection activeCell="B12" sqref="B12"/>
    </sheetView>
  </sheetViews>
  <sheetFormatPr defaultColWidth="10.6640625" defaultRowHeight="15.5" x14ac:dyDescent="0.35"/>
  <cols>
    <col min="3" max="3" width="46.1640625" customWidth="1"/>
    <col min="4" max="4" width="5.6640625" customWidth="1"/>
    <col min="5" max="5" width="5" customWidth="1"/>
    <col min="6" max="6" width="4.83203125" customWidth="1"/>
    <col min="7" max="7" width="4.6640625" customWidth="1"/>
    <col min="8" max="8" width="5" customWidth="1"/>
    <col min="9" max="9" width="4.83203125" customWidth="1"/>
    <col min="10" max="10" width="5" customWidth="1"/>
    <col min="11" max="11" width="5.5" customWidth="1"/>
    <col min="12" max="12" width="5.1640625" customWidth="1"/>
    <col min="13" max="23" width="5" customWidth="1"/>
    <col min="24" max="24" width="11.33203125" style="153" customWidth="1"/>
    <col min="25" max="28" width="10.83203125" customWidth="1"/>
  </cols>
  <sheetData>
    <row r="2" spans="1:29" ht="16" thickBot="1" x14ac:dyDescent="0.4"/>
    <row r="3" spans="1:29" ht="16.5" thickTop="1" thickBot="1" x14ac:dyDescent="0.4">
      <c r="D3" s="412" t="s">
        <v>51</v>
      </c>
      <c r="E3" s="413"/>
      <c r="F3" s="413"/>
      <c r="G3" s="414"/>
      <c r="H3" s="413" t="s">
        <v>52</v>
      </c>
      <c r="I3" s="413"/>
      <c r="J3" s="413"/>
      <c r="K3" s="414"/>
      <c r="L3" s="412" t="s">
        <v>53</v>
      </c>
      <c r="M3" s="413"/>
      <c r="N3" s="413"/>
      <c r="O3" s="414"/>
      <c r="P3" s="412" t="s">
        <v>54</v>
      </c>
      <c r="Q3" s="413"/>
      <c r="R3" s="413"/>
      <c r="S3" s="414"/>
      <c r="T3" s="412" t="s">
        <v>55</v>
      </c>
      <c r="U3" s="413"/>
      <c r="V3" s="413"/>
      <c r="W3" s="414"/>
    </row>
    <row r="4" spans="1:29" ht="16.5" thickTop="1" thickBot="1" x14ac:dyDescent="0.4">
      <c r="C4" s="159" t="s">
        <v>63</v>
      </c>
      <c r="D4" s="410" t="s">
        <v>58</v>
      </c>
      <c r="E4" s="405"/>
      <c r="F4" s="405" t="s">
        <v>59</v>
      </c>
      <c r="G4" s="411"/>
      <c r="H4" s="410" t="s">
        <v>58</v>
      </c>
      <c r="I4" s="405"/>
      <c r="J4" s="405" t="s">
        <v>59</v>
      </c>
      <c r="K4" s="411"/>
      <c r="L4" s="410" t="s">
        <v>58</v>
      </c>
      <c r="M4" s="405"/>
      <c r="N4" s="405" t="s">
        <v>59</v>
      </c>
      <c r="O4" s="411"/>
      <c r="P4" s="410" t="s">
        <v>58</v>
      </c>
      <c r="Q4" s="405"/>
      <c r="R4" s="405" t="s">
        <v>59</v>
      </c>
      <c r="S4" s="411"/>
      <c r="T4" s="410" t="s">
        <v>58</v>
      </c>
      <c r="U4" s="405"/>
      <c r="V4" s="405" t="s">
        <v>59</v>
      </c>
      <c r="W4" s="411"/>
    </row>
    <row r="5" spans="1:29" ht="16.5" thickTop="1" thickBot="1" x14ac:dyDescent="0.4">
      <c r="C5" s="160" t="s">
        <v>61</v>
      </c>
      <c r="D5" s="165"/>
      <c r="E5" s="40"/>
      <c r="F5" s="39"/>
      <c r="G5" s="69"/>
      <c r="H5" s="165"/>
      <c r="I5" s="40"/>
      <c r="J5" s="39"/>
      <c r="K5" s="69"/>
      <c r="L5" s="165"/>
      <c r="M5" s="40"/>
      <c r="N5" s="39"/>
      <c r="O5" s="69"/>
      <c r="P5" s="165"/>
      <c r="Q5" s="40"/>
      <c r="R5" s="39"/>
      <c r="S5" s="69"/>
      <c r="T5" s="171"/>
      <c r="U5" s="40"/>
      <c r="V5" s="39"/>
      <c r="W5" s="40"/>
    </row>
    <row r="6" spans="1:29" ht="16.5" thickTop="1" thickBot="1" x14ac:dyDescent="0.4">
      <c r="C6" s="172" t="s">
        <v>56</v>
      </c>
      <c r="D6" s="173"/>
      <c r="E6" s="174"/>
      <c r="F6" s="175"/>
      <c r="G6" s="176"/>
      <c r="H6" s="173"/>
      <c r="I6" s="174"/>
      <c r="J6" s="175"/>
      <c r="K6" s="176"/>
      <c r="L6" s="173"/>
      <c r="M6" s="174"/>
      <c r="N6" s="175"/>
      <c r="O6" s="176"/>
      <c r="P6" s="173"/>
      <c r="Q6" s="174"/>
      <c r="R6" s="175"/>
      <c r="S6" s="176"/>
      <c r="T6" s="177"/>
      <c r="U6" s="174"/>
      <c r="V6" s="175"/>
      <c r="W6" s="174"/>
    </row>
    <row r="7" spans="1:29" ht="16.5" thickTop="1" thickBot="1" x14ac:dyDescent="0.4">
      <c r="C7" s="161" t="s">
        <v>57</v>
      </c>
      <c r="D7" s="166"/>
      <c r="E7" s="42"/>
      <c r="F7" s="41"/>
      <c r="G7" s="43"/>
      <c r="H7" s="166"/>
      <c r="I7" s="42"/>
      <c r="J7" s="41"/>
      <c r="K7" s="43"/>
      <c r="L7" s="167"/>
      <c r="M7" s="55"/>
      <c r="N7" s="54"/>
      <c r="O7" s="168"/>
      <c r="P7" s="167"/>
      <c r="Q7" s="55"/>
      <c r="R7" s="54"/>
      <c r="S7" s="168"/>
      <c r="T7" s="163"/>
      <c r="U7" s="55"/>
      <c r="V7" s="54"/>
      <c r="W7" s="55"/>
    </row>
    <row r="8" spans="1:29" ht="16.5" thickTop="1" thickBot="1" x14ac:dyDescent="0.4">
      <c r="C8" s="162" t="s">
        <v>60</v>
      </c>
      <c r="D8" s="169"/>
      <c r="E8" s="62"/>
      <c r="F8" s="61"/>
      <c r="G8" s="170"/>
      <c r="H8" s="169"/>
      <c r="I8" s="62"/>
      <c r="J8" s="61"/>
      <c r="K8" s="170"/>
      <c r="L8" s="169"/>
      <c r="M8" s="62"/>
      <c r="N8" s="61"/>
      <c r="O8" s="170"/>
      <c r="P8" s="169"/>
      <c r="Q8" s="62"/>
      <c r="R8" s="61"/>
      <c r="S8" s="170"/>
      <c r="T8" s="164"/>
      <c r="U8" s="62"/>
      <c r="V8" s="61"/>
      <c r="W8" s="62"/>
    </row>
    <row r="9" spans="1:29" ht="16" thickBot="1" x14ac:dyDescent="0.4">
      <c r="C9" s="178" t="s">
        <v>62</v>
      </c>
      <c r="D9" s="179"/>
      <c r="E9" s="180"/>
      <c r="F9" s="181"/>
      <c r="G9" s="182"/>
      <c r="H9" s="179"/>
      <c r="I9" s="180"/>
      <c r="J9" s="181"/>
      <c r="K9" s="182"/>
      <c r="L9" s="179"/>
      <c r="M9" s="180"/>
      <c r="N9" s="181"/>
      <c r="O9" s="182"/>
      <c r="P9" s="179"/>
      <c r="Q9" s="180"/>
      <c r="R9" s="181"/>
      <c r="S9" s="182"/>
      <c r="T9" s="183"/>
      <c r="U9" s="180"/>
      <c r="V9" s="181"/>
      <c r="W9" s="180"/>
    </row>
    <row r="11" spans="1:29" x14ac:dyDescent="0.35">
      <c r="A11" s="1" t="s">
        <v>46</v>
      </c>
      <c r="B11" s="1">
        <f>'Plan Fase 1'!B36</f>
        <v>1752</v>
      </c>
    </row>
    <row r="12" spans="1:29" x14ac:dyDescent="0.35">
      <c r="A12" s="1" t="s">
        <v>65</v>
      </c>
      <c r="B12" s="1">
        <f>B11/4</f>
        <v>438</v>
      </c>
    </row>
    <row r="13" spans="1:29" x14ac:dyDescent="0.35">
      <c r="A13" s="1"/>
      <c r="B13" s="1"/>
    </row>
    <row r="14" spans="1:29" ht="16" thickBot="1" x14ac:dyDescent="0.4"/>
    <row r="15" spans="1:29" ht="16.5" thickTop="1" thickBot="1" x14ac:dyDescent="0.4">
      <c r="D15" s="412" t="s">
        <v>51</v>
      </c>
      <c r="E15" s="413"/>
      <c r="F15" s="413"/>
      <c r="G15" s="414"/>
      <c r="H15" s="413" t="s">
        <v>52</v>
      </c>
      <c r="I15" s="413"/>
      <c r="J15" s="413"/>
      <c r="K15" s="414"/>
      <c r="L15" s="412" t="s">
        <v>53</v>
      </c>
      <c r="M15" s="413"/>
      <c r="N15" s="413"/>
      <c r="O15" s="414"/>
      <c r="P15" s="412" t="s">
        <v>54</v>
      </c>
      <c r="Q15" s="413"/>
      <c r="R15" s="413"/>
      <c r="S15" s="414"/>
      <c r="T15" s="412" t="s">
        <v>55</v>
      </c>
      <c r="U15" s="413"/>
      <c r="V15" s="413"/>
      <c r="W15" s="413"/>
      <c r="X15" s="407" t="s">
        <v>45</v>
      </c>
      <c r="Y15" s="408"/>
      <c r="Z15" s="408"/>
      <c r="AA15" s="408"/>
      <c r="AB15" s="408"/>
      <c r="AC15" s="409"/>
    </row>
    <row r="16" spans="1:29" ht="16.5" thickTop="1" thickBot="1" x14ac:dyDescent="0.4">
      <c r="C16" s="184" t="s">
        <v>64</v>
      </c>
      <c r="D16" s="410" t="s">
        <v>58</v>
      </c>
      <c r="E16" s="405"/>
      <c r="F16" s="405" t="s">
        <v>59</v>
      </c>
      <c r="G16" s="411"/>
      <c r="H16" s="410" t="s">
        <v>58</v>
      </c>
      <c r="I16" s="405"/>
      <c r="J16" s="405" t="s">
        <v>59</v>
      </c>
      <c r="K16" s="411"/>
      <c r="L16" s="410" t="s">
        <v>58</v>
      </c>
      <c r="M16" s="405"/>
      <c r="N16" s="405" t="s">
        <v>59</v>
      </c>
      <c r="O16" s="411"/>
      <c r="P16" s="410" t="s">
        <v>58</v>
      </c>
      <c r="Q16" s="405"/>
      <c r="R16" s="405" t="s">
        <v>59</v>
      </c>
      <c r="S16" s="411"/>
      <c r="T16" s="410" t="s">
        <v>58</v>
      </c>
      <c r="U16" s="405"/>
      <c r="V16" s="405" t="s">
        <v>59</v>
      </c>
      <c r="W16" s="406"/>
      <c r="X16" s="376" t="s">
        <v>51</v>
      </c>
      <c r="Y16" s="377" t="s">
        <v>52</v>
      </c>
      <c r="Z16" s="377" t="s">
        <v>53</v>
      </c>
      <c r="AA16" s="377" t="s">
        <v>54</v>
      </c>
      <c r="AB16" s="378" t="s">
        <v>55</v>
      </c>
      <c r="AC16" s="217" t="s">
        <v>9</v>
      </c>
    </row>
    <row r="17" spans="3:29" ht="16.5" thickTop="1" thickBot="1" x14ac:dyDescent="0.4">
      <c r="C17" s="160" t="s">
        <v>61</v>
      </c>
      <c r="D17" s="185">
        <v>0.25</v>
      </c>
      <c r="E17" s="90">
        <v>0.25</v>
      </c>
      <c r="F17" s="89">
        <v>0.25</v>
      </c>
      <c r="G17" s="98">
        <v>0.25</v>
      </c>
      <c r="H17" s="185">
        <v>0.25</v>
      </c>
      <c r="I17" s="90">
        <v>0.25</v>
      </c>
      <c r="J17" s="89">
        <v>0.25</v>
      </c>
      <c r="K17" s="98">
        <v>0.25</v>
      </c>
      <c r="L17" s="185">
        <v>0.2</v>
      </c>
      <c r="M17" s="90">
        <v>0.2</v>
      </c>
      <c r="N17" s="89">
        <v>0.2</v>
      </c>
      <c r="O17" s="98">
        <v>0.2</v>
      </c>
      <c r="P17" s="185">
        <v>0.2</v>
      </c>
      <c r="Q17" s="90">
        <v>0.2</v>
      </c>
      <c r="R17" s="89">
        <v>0.2</v>
      </c>
      <c r="S17" s="98">
        <v>0.2</v>
      </c>
      <c r="T17" s="186">
        <v>0.2</v>
      </c>
      <c r="U17" s="90">
        <v>0.2</v>
      </c>
      <c r="V17" s="89">
        <v>0.2</v>
      </c>
      <c r="W17" s="205">
        <v>0.2</v>
      </c>
      <c r="X17" s="382">
        <f>SUM(D17:G17)*$B$12</f>
        <v>438</v>
      </c>
      <c r="Y17" s="383">
        <f>SUM(H17:K17)*$B$12</f>
        <v>438</v>
      </c>
      <c r="Z17" s="383">
        <f>SUM(L17:O17)*$B$12</f>
        <v>350.40000000000003</v>
      </c>
      <c r="AA17" s="383">
        <f>SUM(P17:S17)*$B$12</f>
        <v>350.40000000000003</v>
      </c>
      <c r="AB17" s="384">
        <f>SUM(T17:W17)*$B$12</f>
        <v>350.40000000000003</v>
      </c>
      <c r="AC17" s="370">
        <f t="shared" ref="AC17:AC22" si="0">SUM(X17:AB17)</f>
        <v>1927.2000000000003</v>
      </c>
    </row>
    <row r="18" spans="3:29" ht="16.5" thickTop="1" thickBot="1" x14ac:dyDescent="0.4">
      <c r="C18" s="172" t="s">
        <v>56</v>
      </c>
      <c r="D18" s="187">
        <v>0.1</v>
      </c>
      <c r="E18" s="188">
        <v>0.1</v>
      </c>
      <c r="F18" s="189">
        <v>0.1</v>
      </c>
      <c r="G18" s="190">
        <v>0.1</v>
      </c>
      <c r="H18" s="187">
        <v>0.1</v>
      </c>
      <c r="I18" s="188">
        <v>0.1</v>
      </c>
      <c r="J18" s="189">
        <v>0.1</v>
      </c>
      <c r="K18" s="190">
        <v>0.1</v>
      </c>
      <c r="L18" s="187">
        <v>0.05</v>
      </c>
      <c r="M18" s="188">
        <v>0.05</v>
      </c>
      <c r="N18" s="189">
        <v>0.05</v>
      </c>
      <c r="O18" s="190">
        <v>0.05</v>
      </c>
      <c r="P18" s="187">
        <v>0.05</v>
      </c>
      <c r="Q18" s="188">
        <v>0.05</v>
      </c>
      <c r="R18" s="189">
        <v>0.05</v>
      </c>
      <c r="S18" s="190">
        <v>0.05</v>
      </c>
      <c r="T18" s="191">
        <v>0.05</v>
      </c>
      <c r="U18" s="188">
        <v>0.05</v>
      </c>
      <c r="V18" s="189">
        <v>0.05</v>
      </c>
      <c r="W18" s="206">
        <v>0.05</v>
      </c>
      <c r="X18" s="382">
        <f>SUM(D18:G18)*$B$12</f>
        <v>175.20000000000002</v>
      </c>
      <c r="Y18" s="383">
        <f>SUM(H18:K18)*$B$12</f>
        <v>175.20000000000002</v>
      </c>
      <c r="Z18" s="383">
        <f>SUM(L18:O18)*$B$12</f>
        <v>87.600000000000009</v>
      </c>
      <c r="AA18" s="383">
        <f>SUM(P18:S18)*$B$12</f>
        <v>87.600000000000009</v>
      </c>
      <c r="AB18" s="384">
        <f>SUM(T18:W18)*$B$12</f>
        <v>87.600000000000009</v>
      </c>
      <c r="AC18" s="370">
        <f t="shared" si="0"/>
        <v>613.20000000000005</v>
      </c>
    </row>
    <row r="19" spans="3:29" ht="16.5" thickTop="1" thickBot="1" x14ac:dyDescent="0.4">
      <c r="C19" s="161" t="s">
        <v>57</v>
      </c>
      <c r="D19" s="192"/>
      <c r="E19" s="92"/>
      <c r="F19" s="91"/>
      <c r="G19" s="93"/>
      <c r="H19" s="192"/>
      <c r="I19" s="92"/>
      <c r="J19" s="91"/>
      <c r="K19" s="93"/>
      <c r="L19" s="193">
        <v>0.15</v>
      </c>
      <c r="M19" s="95">
        <v>0.15</v>
      </c>
      <c r="N19" s="94">
        <v>0.15</v>
      </c>
      <c r="O19" s="194">
        <v>0.15</v>
      </c>
      <c r="P19" s="193">
        <v>0.15</v>
      </c>
      <c r="Q19" s="95">
        <v>0.15</v>
      </c>
      <c r="R19" s="94">
        <v>0.15</v>
      </c>
      <c r="S19" s="194">
        <v>0.15</v>
      </c>
      <c r="T19" s="195">
        <v>0.15</v>
      </c>
      <c r="U19" s="95">
        <v>0.15</v>
      </c>
      <c r="V19" s="94">
        <v>0.15</v>
      </c>
      <c r="W19" s="207">
        <v>0.15</v>
      </c>
      <c r="X19" s="382">
        <f>SUM(D19:G19)*$B$12</f>
        <v>0</v>
      </c>
      <c r="Y19" s="383">
        <f>SUM(H19:K19)*$B$12</f>
        <v>0</v>
      </c>
      <c r="Z19" s="383">
        <f>SUM(L19:O19)*$B$12</f>
        <v>262.8</v>
      </c>
      <c r="AA19" s="383">
        <f>SUM(P19:S19)*$B$12</f>
        <v>262.8</v>
      </c>
      <c r="AB19" s="384">
        <f>SUM(T19:W19)*$B$12</f>
        <v>262.8</v>
      </c>
      <c r="AC19" s="370">
        <f t="shared" si="0"/>
        <v>788.40000000000009</v>
      </c>
    </row>
    <row r="20" spans="3:29" ht="16.5" thickTop="1" thickBot="1" x14ac:dyDescent="0.4">
      <c r="C20" s="162" t="s">
        <v>60</v>
      </c>
      <c r="D20" s="196">
        <v>0.1</v>
      </c>
      <c r="E20" s="97">
        <v>0.1</v>
      </c>
      <c r="F20" s="96">
        <v>0.1</v>
      </c>
      <c r="G20" s="197">
        <v>0.1</v>
      </c>
      <c r="H20" s="196">
        <v>0.1</v>
      </c>
      <c r="I20" s="97">
        <v>0.1</v>
      </c>
      <c r="J20" s="96">
        <v>0.1</v>
      </c>
      <c r="K20" s="197">
        <v>0.1</v>
      </c>
      <c r="L20" s="196">
        <v>0.05</v>
      </c>
      <c r="M20" s="97">
        <v>0.05</v>
      </c>
      <c r="N20" s="96">
        <v>0.05</v>
      </c>
      <c r="O20" s="197">
        <v>0.05</v>
      </c>
      <c r="P20" s="196">
        <v>0.05</v>
      </c>
      <c r="Q20" s="97">
        <v>0.05</v>
      </c>
      <c r="R20" s="96">
        <v>0.05</v>
      </c>
      <c r="S20" s="197">
        <v>0.05</v>
      </c>
      <c r="T20" s="198">
        <v>0.05</v>
      </c>
      <c r="U20" s="97">
        <v>0.05</v>
      </c>
      <c r="V20" s="96">
        <v>0.05</v>
      </c>
      <c r="W20" s="208">
        <v>0.05</v>
      </c>
      <c r="X20" s="382">
        <f>SUM(D20:G20)*$B$12</f>
        <v>175.20000000000002</v>
      </c>
      <c r="Y20" s="383">
        <f>SUM(H20:K20)*$B$12</f>
        <v>175.20000000000002</v>
      </c>
      <c r="Z20" s="383">
        <f>SUM(L20:O20)*$B$12</f>
        <v>87.600000000000009</v>
      </c>
      <c r="AA20" s="383">
        <f>SUM(P20:S20)*$B$12</f>
        <v>87.600000000000009</v>
      </c>
      <c r="AB20" s="384">
        <f>SUM(T20:W20)*$B$12</f>
        <v>87.600000000000009</v>
      </c>
      <c r="AC20" s="370">
        <f t="shared" si="0"/>
        <v>613.20000000000005</v>
      </c>
    </row>
    <row r="21" spans="3:29" ht="16.5" thickTop="1" thickBot="1" x14ac:dyDescent="0.4">
      <c r="C21" s="178" t="s">
        <v>62</v>
      </c>
      <c r="D21" s="199">
        <v>0.05</v>
      </c>
      <c r="E21" s="200">
        <v>0.05</v>
      </c>
      <c r="F21" s="201">
        <v>0.05</v>
      </c>
      <c r="G21" s="202">
        <v>0.05</v>
      </c>
      <c r="H21" s="199">
        <v>0.05</v>
      </c>
      <c r="I21" s="200">
        <v>0.05</v>
      </c>
      <c r="J21" s="201">
        <v>0.05</v>
      </c>
      <c r="K21" s="202">
        <v>0.05</v>
      </c>
      <c r="L21" s="199">
        <v>0.05</v>
      </c>
      <c r="M21" s="200">
        <v>0.05</v>
      </c>
      <c r="N21" s="201">
        <v>0.05</v>
      </c>
      <c r="O21" s="202">
        <v>0.05</v>
      </c>
      <c r="P21" s="199">
        <v>0.05</v>
      </c>
      <c r="Q21" s="200">
        <v>0.05</v>
      </c>
      <c r="R21" s="201">
        <v>0.05</v>
      </c>
      <c r="S21" s="202">
        <v>0.05</v>
      </c>
      <c r="T21" s="203">
        <v>0.05</v>
      </c>
      <c r="U21" s="200">
        <v>0.05</v>
      </c>
      <c r="V21" s="201">
        <v>0.05</v>
      </c>
      <c r="W21" s="209">
        <v>0.05</v>
      </c>
      <c r="X21" s="382">
        <f>SUM(D21:G21)*$B$12</f>
        <v>87.600000000000009</v>
      </c>
      <c r="Y21" s="383">
        <f>SUM(H21:K21)*$B$12</f>
        <v>87.600000000000009</v>
      </c>
      <c r="Z21" s="383">
        <f>SUM(L21:O21)*$B$12</f>
        <v>87.600000000000009</v>
      </c>
      <c r="AA21" s="383">
        <f>SUM(P21:S21)*$B$12</f>
        <v>87.600000000000009</v>
      </c>
      <c r="AB21" s="384">
        <f>SUM(T21:W21)*$B$12</f>
        <v>87.600000000000009</v>
      </c>
      <c r="AC21" s="370">
        <f t="shared" si="0"/>
        <v>438.00000000000006</v>
      </c>
    </row>
    <row r="22" spans="3:29" ht="16.5" thickTop="1" thickBot="1" x14ac:dyDescent="0.4">
      <c r="C22" s="204" t="s">
        <v>9</v>
      </c>
      <c r="D22" s="210">
        <f>SUM(D17:D21)</f>
        <v>0.49999999999999994</v>
      </c>
      <c r="E22" s="211">
        <f t="shared" ref="E22:W22" si="1">SUM(E17:E21)</f>
        <v>0.49999999999999994</v>
      </c>
      <c r="F22" s="212">
        <f t="shared" si="1"/>
        <v>0.49999999999999994</v>
      </c>
      <c r="G22" s="213">
        <f t="shared" si="1"/>
        <v>0.49999999999999994</v>
      </c>
      <c r="H22" s="210">
        <f t="shared" si="1"/>
        <v>0.49999999999999994</v>
      </c>
      <c r="I22" s="211">
        <f t="shared" si="1"/>
        <v>0.49999999999999994</v>
      </c>
      <c r="J22" s="212">
        <f t="shared" si="1"/>
        <v>0.49999999999999994</v>
      </c>
      <c r="K22" s="213">
        <f t="shared" si="1"/>
        <v>0.49999999999999994</v>
      </c>
      <c r="L22" s="210">
        <f t="shared" si="1"/>
        <v>0.5</v>
      </c>
      <c r="M22" s="211">
        <f t="shared" si="1"/>
        <v>0.5</v>
      </c>
      <c r="N22" s="212">
        <f t="shared" si="1"/>
        <v>0.5</v>
      </c>
      <c r="O22" s="213">
        <f t="shared" si="1"/>
        <v>0.5</v>
      </c>
      <c r="P22" s="210">
        <f t="shared" si="1"/>
        <v>0.5</v>
      </c>
      <c r="Q22" s="211">
        <f t="shared" si="1"/>
        <v>0.5</v>
      </c>
      <c r="R22" s="212">
        <f t="shared" si="1"/>
        <v>0.5</v>
      </c>
      <c r="S22" s="213">
        <f t="shared" si="1"/>
        <v>0.5</v>
      </c>
      <c r="T22" s="214">
        <f t="shared" si="1"/>
        <v>0.5</v>
      </c>
      <c r="U22" s="211">
        <f t="shared" si="1"/>
        <v>0.5</v>
      </c>
      <c r="V22" s="212">
        <f t="shared" si="1"/>
        <v>0.5</v>
      </c>
      <c r="W22" s="215">
        <f t="shared" si="1"/>
        <v>0.5</v>
      </c>
      <c r="X22" s="379">
        <f>SUM(X17:X21)</f>
        <v>876.00000000000011</v>
      </c>
      <c r="Y22" s="380">
        <f>SUM(Y17:Y21)</f>
        <v>876.00000000000011</v>
      </c>
      <c r="Z22" s="380">
        <f>SUM(Z17:Z21)</f>
        <v>876.00000000000011</v>
      </c>
      <c r="AA22" s="380">
        <f>SUM(AA17:AA21)</f>
        <v>876.00000000000011</v>
      </c>
      <c r="AB22" s="381">
        <f>SUM(AB17:AB21)</f>
        <v>876.00000000000011</v>
      </c>
      <c r="AC22" s="218">
        <f t="shared" si="0"/>
        <v>4380.0000000000009</v>
      </c>
    </row>
    <row r="23" spans="3:29" ht="16" thickBot="1" x14ac:dyDescent="0.4"/>
    <row r="24" spans="3:29" ht="16.5" thickTop="1" thickBot="1" x14ac:dyDescent="0.4">
      <c r="D24" s="412" t="s">
        <v>51</v>
      </c>
      <c r="E24" s="413"/>
      <c r="F24" s="413"/>
      <c r="G24" s="414"/>
      <c r="H24" s="413" t="s">
        <v>52</v>
      </c>
      <c r="I24" s="413"/>
      <c r="J24" s="413"/>
      <c r="K24" s="414"/>
      <c r="L24" s="412" t="s">
        <v>53</v>
      </c>
      <c r="M24" s="413"/>
      <c r="N24" s="413"/>
      <c r="O24" s="414"/>
      <c r="P24" s="412" t="s">
        <v>54</v>
      </c>
      <c r="Q24" s="413"/>
      <c r="R24" s="413"/>
      <c r="S24" s="414"/>
      <c r="T24" s="412" t="s">
        <v>55</v>
      </c>
      <c r="U24" s="413"/>
      <c r="V24" s="413"/>
      <c r="W24" s="413"/>
      <c r="X24" s="407" t="s">
        <v>45</v>
      </c>
      <c r="Y24" s="408"/>
      <c r="Z24" s="408"/>
      <c r="AA24" s="408"/>
      <c r="AB24" s="408"/>
      <c r="AC24" s="409"/>
    </row>
    <row r="25" spans="3:29" ht="16.5" thickTop="1" thickBot="1" x14ac:dyDescent="0.4">
      <c r="C25" s="184" t="s">
        <v>49</v>
      </c>
      <c r="D25" s="410" t="s">
        <v>58</v>
      </c>
      <c r="E25" s="405"/>
      <c r="F25" s="405" t="s">
        <v>59</v>
      </c>
      <c r="G25" s="411"/>
      <c r="H25" s="410" t="s">
        <v>58</v>
      </c>
      <c r="I25" s="405"/>
      <c r="J25" s="405" t="s">
        <v>59</v>
      </c>
      <c r="K25" s="411"/>
      <c r="L25" s="410" t="s">
        <v>58</v>
      </c>
      <c r="M25" s="405"/>
      <c r="N25" s="405" t="s">
        <v>59</v>
      </c>
      <c r="O25" s="411"/>
      <c r="P25" s="410" t="s">
        <v>58</v>
      </c>
      <c r="Q25" s="405"/>
      <c r="R25" s="405" t="s">
        <v>59</v>
      </c>
      <c r="S25" s="411"/>
      <c r="T25" s="410" t="s">
        <v>58</v>
      </c>
      <c r="U25" s="405"/>
      <c r="V25" s="405" t="s">
        <v>59</v>
      </c>
      <c r="W25" s="406"/>
      <c r="X25" s="376" t="s">
        <v>51</v>
      </c>
      <c r="Y25" s="377" t="s">
        <v>52</v>
      </c>
      <c r="Z25" s="377" t="s">
        <v>53</v>
      </c>
      <c r="AA25" s="377" t="s">
        <v>54</v>
      </c>
      <c r="AB25" s="378" t="s">
        <v>55</v>
      </c>
      <c r="AC25" s="217" t="s">
        <v>9</v>
      </c>
    </row>
    <row r="26" spans="3:29" ht="16.5" thickTop="1" thickBot="1" x14ac:dyDescent="0.4">
      <c r="C26" s="160" t="s">
        <v>61</v>
      </c>
      <c r="D26" s="185">
        <v>0.15</v>
      </c>
      <c r="E26" s="90">
        <v>0.15</v>
      </c>
      <c r="F26" s="89">
        <v>0.15</v>
      </c>
      <c r="G26" s="98">
        <v>0.15</v>
      </c>
      <c r="H26" s="185">
        <v>0.15</v>
      </c>
      <c r="I26" s="90">
        <v>0.15</v>
      </c>
      <c r="J26" s="89">
        <v>0.15</v>
      </c>
      <c r="K26" s="98">
        <v>0.15</v>
      </c>
      <c r="L26" s="185">
        <v>0.1</v>
      </c>
      <c r="M26" s="90">
        <v>0.1</v>
      </c>
      <c r="N26" s="89">
        <v>0.1</v>
      </c>
      <c r="O26" s="98">
        <v>0.1</v>
      </c>
      <c r="P26" s="185">
        <v>0.1</v>
      </c>
      <c r="Q26" s="90">
        <v>0.1</v>
      </c>
      <c r="R26" s="89">
        <v>0.1</v>
      </c>
      <c r="S26" s="98">
        <v>0.1</v>
      </c>
      <c r="T26" s="186">
        <v>0.1</v>
      </c>
      <c r="U26" s="90">
        <v>0.1</v>
      </c>
      <c r="V26" s="89">
        <v>0.1</v>
      </c>
      <c r="W26" s="205">
        <v>0.1</v>
      </c>
      <c r="X26" s="382">
        <f>SUM(D26:G26)*$B$12</f>
        <v>262.8</v>
      </c>
      <c r="Y26" s="383">
        <f>SUM(H26:K26)*$B$12</f>
        <v>262.8</v>
      </c>
      <c r="Z26" s="383">
        <f>SUM(L26:O26)*$B$12</f>
        <v>175.20000000000002</v>
      </c>
      <c r="AA26" s="383">
        <f>SUM(P26:S26)*$B$12</f>
        <v>175.20000000000002</v>
      </c>
      <c r="AB26" s="384">
        <f>SUM(T26:W26)*$B$12</f>
        <v>175.20000000000002</v>
      </c>
      <c r="AC26" s="373">
        <f t="shared" ref="AC26:AC31" si="2">SUM(X26:AB26)</f>
        <v>1051.2</v>
      </c>
    </row>
    <row r="27" spans="3:29" ht="16.5" thickTop="1" thickBot="1" x14ac:dyDescent="0.4">
      <c r="C27" s="172" t="s">
        <v>56</v>
      </c>
      <c r="D27" s="187">
        <v>0.1</v>
      </c>
      <c r="E27" s="188">
        <v>0.1</v>
      </c>
      <c r="F27" s="189">
        <v>0.1</v>
      </c>
      <c r="G27" s="190">
        <v>0.1</v>
      </c>
      <c r="H27" s="187">
        <v>0.1</v>
      </c>
      <c r="I27" s="188">
        <v>0.1</v>
      </c>
      <c r="J27" s="189">
        <v>0.1</v>
      </c>
      <c r="K27" s="190">
        <v>0.1</v>
      </c>
      <c r="L27" s="187">
        <v>0.05</v>
      </c>
      <c r="M27" s="188">
        <v>0.05</v>
      </c>
      <c r="N27" s="189">
        <v>0.05</v>
      </c>
      <c r="O27" s="190">
        <v>0.05</v>
      </c>
      <c r="P27" s="187">
        <v>0.05</v>
      </c>
      <c r="Q27" s="188">
        <v>0.05</v>
      </c>
      <c r="R27" s="189">
        <v>0.05</v>
      </c>
      <c r="S27" s="190">
        <v>0.05</v>
      </c>
      <c r="T27" s="191">
        <v>0.05</v>
      </c>
      <c r="U27" s="188">
        <v>0.05</v>
      </c>
      <c r="V27" s="189">
        <v>0.05</v>
      </c>
      <c r="W27" s="206">
        <v>0.05</v>
      </c>
      <c r="X27" s="382">
        <f>SUM(D27:G27)*$B$12</f>
        <v>175.20000000000002</v>
      </c>
      <c r="Y27" s="383">
        <f>SUM(H27:K27)*$B$12</f>
        <v>175.20000000000002</v>
      </c>
      <c r="Z27" s="383">
        <f>SUM(L27:O27)*$B$12</f>
        <v>87.600000000000009</v>
      </c>
      <c r="AA27" s="383">
        <f>SUM(P27:S27)*$B$12</f>
        <v>87.600000000000009</v>
      </c>
      <c r="AB27" s="384">
        <f>SUM(T27:W27)*$B$12</f>
        <v>87.600000000000009</v>
      </c>
      <c r="AC27" s="374">
        <f t="shared" si="2"/>
        <v>613.20000000000005</v>
      </c>
    </row>
    <row r="28" spans="3:29" ht="16.5" thickTop="1" thickBot="1" x14ac:dyDescent="0.4">
      <c r="C28" s="161" t="s">
        <v>57</v>
      </c>
      <c r="D28" s="192"/>
      <c r="E28" s="92"/>
      <c r="F28" s="91"/>
      <c r="G28" s="93"/>
      <c r="H28" s="192"/>
      <c r="I28" s="92"/>
      <c r="J28" s="91"/>
      <c r="K28" s="93"/>
      <c r="L28" s="193">
        <v>0.2</v>
      </c>
      <c r="M28" s="95">
        <v>0.2</v>
      </c>
      <c r="N28" s="94">
        <v>0.2</v>
      </c>
      <c r="O28" s="194">
        <v>0.2</v>
      </c>
      <c r="P28" s="193">
        <v>0.2</v>
      </c>
      <c r="Q28" s="95">
        <v>0.2</v>
      </c>
      <c r="R28" s="94">
        <v>0.2</v>
      </c>
      <c r="S28" s="194">
        <v>0.2</v>
      </c>
      <c r="T28" s="195">
        <v>0.2</v>
      </c>
      <c r="U28" s="95">
        <v>0.2</v>
      </c>
      <c r="V28" s="94">
        <v>0.2</v>
      </c>
      <c r="W28" s="207">
        <v>0.2</v>
      </c>
      <c r="X28" s="382">
        <f>SUM(D28:G28)*$B$12</f>
        <v>0</v>
      </c>
      <c r="Y28" s="383">
        <f>SUM(H28:K28)*$B$12</f>
        <v>0</v>
      </c>
      <c r="Z28" s="383">
        <f>SUM(L28:O28)*$B$12</f>
        <v>350.40000000000003</v>
      </c>
      <c r="AA28" s="383">
        <f>SUM(P28:S28)*$B$12</f>
        <v>350.40000000000003</v>
      </c>
      <c r="AB28" s="384">
        <f>SUM(T28:W28)*$B$12</f>
        <v>350.40000000000003</v>
      </c>
      <c r="AC28" s="374">
        <f t="shared" si="2"/>
        <v>1051.2</v>
      </c>
    </row>
    <row r="29" spans="3:29" ht="16.5" thickTop="1" thickBot="1" x14ac:dyDescent="0.4">
      <c r="C29" s="162" t="s">
        <v>60</v>
      </c>
      <c r="D29" s="196">
        <v>0.15</v>
      </c>
      <c r="E29" s="97">
        <v>0.15</v>
      </c>
      <c r="F29" s="96">
        <v>0.15</v>
      </c>
      <c r="G29" s="197">
        <v>0.15</v>
      </c>
      <c r="H29" s="196">
        <v>0.15</v>
      </c>
      <c r="I29" s="97">
        <v>0.15</v>
      </c>
      <c r="J29" s="96">
        <v>0.15</v>
      </c>
      <c r="K29" s="197">
        <v>0.15</v>
      </c>
      <c r="L29" s="196">
        <v>0.05</v>
      </c>
      <c r="M29" s="97">
        <v>0.05</v>
      </c>
      <c r="N29" s="96">
        <v>0.05</v>
      </c>
      <c r="O29" s="197">
        <v>0.05</v>
      </c>
      <c r="P29" s="196">
        <v>0.05</v>
      </c>
      <c r="Q29" s="97">
        <v>0.05</v>
      </c>
      <c r="R29" s="96">
        <v>0.05</v>
      </c>
      <c r="S29" s="197">
        <v>0.05</v>
      </c>
      <c r="T29" s="198">
        <v>0.05</v>
      </c>
      <c r="U29" s="97">
        <v>0.05</v>
      </c>
      <c r="V29" s="96">
        <v>0.05</v>
      </c>
      <c r="W29" s="208">
        <v>0.05</v>
      </c>
      <c r="X29" s="382">
        <f>SUM(D29:G29)*$B$12</f>
        <v>262.8</v>
      </c>
      <c r="Y29" s="383">
        <f>SUM(H29:K29)*$B$12</f>
        <v>262.8</v>
      </c>
      <c r="Z29" s="383">
        <f>SUM(L29:O29)*$B$12</f>
        <v>87.600000000000009</v>
      </c>
      <c r="AA29" s="383">
        <f>SUM(P29:S29)*$B$12</f>
        <v>87.600000000000009</v>
      </c>
      <c r="AB29" s="384">
        <f>SUM(T29:W29)*$B$12</f>
        <v>87.600000000000009</v>
      </c>
      <c r="AC29" s="374">
        <f t="shared" si="2"/>
        <v>788.40000000000009</v>
      </c>
    </row>
    <row r="30" spans="3:29" ht="16.5" thickTop="1" thickBot="1" x14ac:dyDescent="0.4">
      <c r="C30" s="178" t="s">
        <v>62</v>
      </c>
      <c r="D30" s="199">
        <v>0.1</v>
      </c>
      <c r="E30" s="200">
        <v>0.1</v>
      </c>
      <c r="F30" s="201">
        <v>0.1</v>
      </c>
      <c r="G30" s="202">
        <v>0.1</v>
      </c>
      <c r="H30" s="199">
        <v>0.1</v>
      </c>
      <c r="I30" s="200">
        <v>0.1</v>
      </c>
      <c r="J30" s="201">
        <v>0.1</v>
      </c>
      <c r="K30" s="202">
        <v>0.1</v>
      </c>
      <c r="L30" s="199">
        <v>0.1</v>
      </c>
      <c r="M30" s="200">
        <v>0.1</v>
      </c>
      <c r="N30" s="201">
        <v>0.1</v>
      </c>
      <c r="O30" s="202">
        <v>0.1</v>
      </c>
      <c r="P30" s="199">
        <v>0.1</v>
      </c>
      <c r="Q30" s="200">
        <v>0.1</v>
      </c>
      <c r="R30" s="201">
        <v>0.1</v>
      </c>
      <c r="S30" s="202">
        <v>0.1</v>
      </c>
      <c r="T30" s="203">
        <v>0.1</v>
      </c>
      <c r="U30" s="200">
        <v>0.1</v>
      </c>
      <c r="V30" s="201">
        <v>0.1</v>
      </c>
      <c r="W30" s="209">
        <v>0.1</v>
      </c>
      <c r="X30" s="382">
        <f>SUM(D30:G30)*$B$12</f>
        <v>175.20000000000002</v>
      </c>
      <c r="Y30" s="383">
        <f>SUM(H30:K30)*$B$12</f>
        <v>175.20000000000002</v>
      </c>
      <c r="Z30" s="383">
        <f>SUM(L30:O30)*$B$12</f>
        <v>175.20000000000002</v>
      </c>
      <c r="AA30" s="383">
        <f>SUM(P30:S30)*$B$12</f>
        <v>175.20000000000002</v>
      </c>
      <c r="AB30" s="384">
        <f>SUM(T30:W30)*$B$12</f>
        <v>175.20000000000002</v>
      </c>
      <c r="AC30" s="375">
        <f t="shared" si="2"/>
        <v>876.00000000000011</v>
      </c>
    </row>
    <row r="31" spans="3:29" ht="16.5" thickTop="1" thickBot="1" x14ac:dyDescent="0.4">
      <c r="C31" s="204" t="s">
        <v>9</v>
      </c>
      <c r="D31" s="210">
        <f t="shared" ref="D31:AB31" si="3">SUM(D26:D30)</f>
        <v>0.5</v>
      </c>
      <c r="E31" s="211">
        <f t="shared" si="3"/>
        <v>0.5</v>
      </c>
      <c r="F31" s="212">
        <f t="shared" si="3"/>
        <v>0.5</v>
      </c>
      <c r="G31" s="213">
        <f t="shared" si="3"/>
        <v>0.5</v>
      </c>
      <c r="H31" s="210">
        <f t="shared" si="3"/>
        <v>0.5</v>
      </c>
      <c r="I31" s="211">
        <f t="shared" si="3"/>
        <v>0.5</v>
      </c>
      <c r="J31" s="212">
        <f t="shared" si="3"/>
        <v>0.5</v>
      </c>
      <c r="K31" s="213">
        <f t="shared" si="3"/>
        <v>0.5</v>
      </c>
      <c r="L31" s="210">
        <f t="shared" si="3"/>
        <v>0.5</v>
      </c>
      <c r="M31" s="211">
        <f t="shared" si="3"/>
        <v>0.5</v>
      </c>
      <c r="N31" s="212">
        <f t="shared" si="3"/>
        <v>0.5</v>
      </c>
      <c r="O31" s="213">
        <f t="shared" si="3"/>
        <v>0.5</v>
      </c>
      <c r="P31" s="210">
        <f t="shared" si="3"/>
        <v>0.5</v>
      </c>
      <c r="Q31" s="211">
        <f t="shared" si="3"/>
        <v>0.5</v>
      </c>
      <c r="R31" s="212">
        <f t="shared" si="3"/>
        <v>0.5</v>
      </c>
      <c r="S31" s="213">
        <f t="shared" si="3"/>
        <v>0.5</v>
      </c>
      <c r="T31" s="214">
        <f t="shared" si="3"/>
        <v>0.5</v>
      </c>
      <c r="U31" s="211">
        <f t="shared" si="3"/>
        <v>0.5</v>
      </c>
      <c r="V31" s="212">
        <f t="shared" si="3"/>
        <v>0.5</v>
      </c>
      <c r="W31" s="215">
        <f t="shared" si="3"/>
        <v>0.5</v>
      </c>
      <c r="X31" s="379">
        <f t="shared" si="3"/>
        <v>876</v>
      </c>
      <c r="Y31" s="380">
        <f t="shared" si="3"/>
        <v>876</v>
      </c>
      <c r="Z31" s="380">
        <f t="shared" si="3"/>
        <v>876.00000000000011</v>
      </c>
      <c r="AA31" s="380">
        <f t="shared" si="3"/>
        <v>876.00000000000011</v>
      </c>
      <c r="AB31" s="381">
        <f t="shared" si="3"/>
        <v>876.00000000000011</v>
      </c>
      <c r="AC31" s="218">
        <f t="shared" si="2"/>
        <v>4380</v>
      </c>
    </row>
    <row r="32" spans="3:29" ht="16" thickBot="1" x14ac:dyDescent="0.4">
      <c r="Z32" t="s">
        <v>42</v>
      </c>
    </row>
    <row r="33" spans="3:29" ht="16.5" thickTop="1" thickBot="1" x14ac:dyDescent="0.4">
      <c r="D33" s="412" t="s">
        <v>51</v>
      </c>
      <c r="E33" s="413"/>
      <c r="F33" s="413"/>
      <c r="G33" s="414"/>
      <c r="H33" s="413" t="s">
        <v>52</v>
      </c>
      <c r="I33" s="413"/>
      <c r="J33" s="413"/>
      <c r="K33" s="414"/>
      <c r="L33" s="412" t="s">
        <v>53</v>
      </c>
      <c r="M33" s="413"/>
      <c r="N33" s="413"/>
      <c r="O33" s="414"/>
      <c r="P33" s="412" t="s">
        <v>54</v>
      </c>
      <c r="Q33" s="413"/>
      <c r="R33" s="413"/>
      <c r="S33" s="414"/>
      <c r="T33" s="412" t="s">
        <v>55</v>
      </c>
      <c r="U33" s="413"/>
      <c r="V33" s="413"/>
      <c r="W33" s="413"/>
      <c r="X33" s="407" t="s">
        <v>45</v>
      </c>
      <c r="Y33" s="408"/>
      <c r="Z33" s="408"/>
      <c r="AA33" s="408"/>
      <c r="AB33" s="408"/>
      <c r="AC33" s="409"/>
    </row>
    <row r="34" spans="3:29" ht="16.5" thickTop="1" thickBot="1" x14ac:dyDescent="0.4">
      <c r="C34" s="184" t="s">
        <v>66</v>
      </c>
      <c r="D34" s="410" t="s">
        <v>58</v>
      </c>
      <c r="E34" s="405"/>
      <c r="F34" s="405" t="s">
        <v>59</v>
      </c>
      <c r="G34" s="411"/>
      <c r="H34" s="410" t="s">
        <v>58</v>
      </c>
      <c r="I34" s="405"/>
      <c r="J34" s="405" t="s">
        <v>59</v>
      </c>
      <c r="K34" s="411"/>
      <c r="L34" s="410" t="s">
        <v>58</v>
      </c>
      <c r="M34" s="405"/>
      <c r="N34" s="405" t="s">
        <v>59</v>
      </c>
      <c r="O34" s="411"/>
      <c r="P34" s="410" t="s">
        <v>58</v>
      </c>
      <c r="Q34" s="405"/>
      <c r="R34" s="405" t="s">
        <v>59</v>
      </c>
      <c r="S34" s="411"/>
      <c r="T34" s="410" t="s">
        <v>58</v>
      </c>
      <c r="U34" s="405"/>
      <c r="V34" s="405" t="s">
        <v>59</v>
      </c>
      <c r="W34" s="406"/>
      <c r="X34" s="219" t="s">
        <v>51</v>
      </c>
      <c r="Y34" s="220" t="s">
        <v>52</v>
      </c>
      <c r="Z34" s="220" t="s">
        <v>53</v>
      </c>
      <c r="AA34" s="220" t="s">
        <v>54</v>
      </c>
      <c r="AB34" s="221" t="s">
        <v>55</v>
      </c>
      <c r="AC34" s="217" t="s">
        <v>9</v>
      </c>
    </row>
    <row r="35" spans="3:29" ht="16.5" thickTop="1" thickBot="1" x14ac:dyDescent="0.4">
      <c r="C35" s="160" t="s">
        <v>61</v>
      </c>
      <c r="D35" s="185">
        <v>0.2</v>
      </c>
      <c r="E35" s="90">
        <v>0.2</v>
      </c>
      <c r="F35" s="89">
        <v>0.2</v>
      </c>
      <c r="G35" s="98">
        <v>0.2</v>
      </c>
      <c r="H35" s="185">
        <v>0.2</v>
      </c>
      <c r="I35" s="90">
        <v>0.2</v>
      </c>
      <c r="J35" s="89">
        <v>0.2</v>
      </c>
      <c r="K35" s="98">
        <v>0.2</v>
      </c>
      <c r="L35" s="185">
        <v>0.1</v>
      </c>
      <c r="M35" s="90">
        <v>0.1</v>
      </c>
      <c r="N35" s="89">
        <v>0.1</v>
      </c>
      <c r="O35" s="98">
        <v>0.1</v>
      </c>
      <c r="P35" s="185">
        <v>0.1</v>
      </c>
      <c r="Q35" s="90">
        <v>0.1</v>
      </c>
      <c r="R35" s="89">
        <v>0.1</v>
      </c>
      <c r="S35" s="98">
        <v>0.1</v>
      </c>
      <c r="T35" s="186">
        <v>0.1</v>
      </c>
      <c r="U35" s="90">
        <v>0.1</v>
      </c>
      <c r="V35" s="89">
        <v>0.1</v>
      </c>
      <c r="W35" s="205">
        <v>0.1</v>
      </c>
      <c r="X35" s="382">
        <f>SUM(D35:G35)*$B$12</f>
        <v>350.40000000000003</v>
      </c>
      <c r="Y35" s="383">
        <f>SUM(H35:K35)*$B$12</f>
        <v>350.40000000000003</v>
      </c>
      <c r="Z35" s="383">
        <f>SUM(L35:O35)*$B$12</f>
        <v>175.20000000000002</v>
      </c>
      <c r="AA35" s="383">
        <f>SUM(P35:S35)*$B$12</f>
        <v>175.20000000000002</v>
      </c>
      <c r="AB35" s="384">
        <f>SUM(T35:W35)*$B$12</f>
        <v>175.20000000000002</v>
      </c>
      <c r="AC35" s="218">
        <f t="shared" ref="AC35:AC40" si="4">SUM(X35:AB35)</f>
        <v>1226.4000000000001</v>
      </c>
    </row>
    <row r="36" spans="3:29" ht="16.5" thickTop="1" thickBot="1" x14ac:dyDescent="0.4">
      <c r="C36" s="172" t="s">
        <v>56</v>
      </c>
      <c r="D36" s="187">
        <v>0.9</v>
      </c>
      <c r="E36" s="188">
        <v>0.9</v>
      </c>
      <c r="F36" s="189">
        <v>0.9</v>
      </c>
      <c r="G36" s="190">
        <v>0.9</v>
      </c>
      <c r="H36" s="187">
        <v>0.9</v>
      </c>
      <c r="I36" s="188">
        <v>0.9</v>
      </c>
      <c r="J36" s="189">
        <v>0.9</v>
      </c>
      <c r="K36" s="190">
        <v>0.9</v>
      </c>
      <c r="L36" s="187">
        <v>0.4</v>
      </c>
      <c r="M36" s="188">
        <v>0.4</v>
      </c>
      <c r="N36" s="189">
        <v>0.4</v>
      </c>
      <c r="O36" s="190">
        <v>0.4</v>
      </c>
      <c r="P36" s="187">
        <v>0.4</v>
      </c>
      <c r="Q36" s="188">
        <v>0.4</v>
      </c>
      <c r="R36" s="189">
        <v>0.4</v>
      </c>
      <c r="S36" s="190">
        <v>0.4</v>
      </c>
      <c r="T36" s="191">
        <v>0.4</v>
      </c>
      <c r="U36" s="188">
        <v>0.4</v>
      </c>
      <c r="V36" s="189">
        <v>0.4</v>
      </c>
      <c r="W36" s="206">
        <v>0.4</v>
      </c>
      <c r="X36" s="382">
        <f>SUM(D36:G36)*$B$12</f>
        <v>1576.8</v>
      </c>
      <c r="Y36" s="383">
        <f>SUM(H36:K36)*$B$12</f>
        <v>1576.8</v>
      </c>
      <c r="Z36" s="383">
        <f>SUM(L36:O36)*$B$12</f>
        <v>700.80000000000007</v>
      </c>
      <c r="AA36" s="383">
        <f>SUM(P36:S36)*$B$12</f>
        <v>700.80000000000007</v>
      </c>
      <c r="AB36" s="384">
        <f>SUM(T36:W36)*$B$12</f>
        <v>700.80000000000007</v>
      </c>
      <c r="AC36" s="218">
        <f t="shared" si="4"/>
        <v>5256</v>
      </c>
    </row>
    <row r="37" spans="3:29" ht="16.5" thickTop="1" thickBot="1" x14ac:dyDescent="0.4">
      <c r="C37" s="161" t="s">
        <v>57</v>
      </c>
      <c r="D37" s="192"/>
      <c r="E37" s="92"/>
      <c r="F37" s="91"/>
      <c r="G37" s="93"/>
      <c r="H37" s="192"/>
      <c r="I37" s="92"/>
      <c r="J37" s="91"/>
      <c r="K37" s="93"/>
      <c r="L37" s="193">
        <v>0.8</v>
      </c>
      <c r="M37" s="95">
        <v>0.8</v>
      </c>
      <c r="N37" s="94">
        <v>0.8</v>
      </c>
      <c r="O37" s="194">
        <v>0.8</v>
      </c>
      <c r="P37" s="193">
        <v>0.8</v>
      </c>
      <c r="Q37" s="95">
        <v>0.8</v>
      </c>
      <c r="R37" s="94">
        <v>0.8</v>
      </c>
      <c r="S37" s="194">
        <v>0.8</v>
      </c>
      <c r="T37" s="195">
        <v>0.8</v>
      </c>
      <c r="U37" s="95">
        <v>0.8</v>
      </c>
      <c r="V37" s="94">
        <v>0.8</v>
      </c>
      <c r="W37" s="207">
        <v>0.8</v>
      </c>
      <c r="X37" s="382">
        <f>SUM(D37:G37)*$B$12</f>
        <v>0</v>
      </c>
      <c r="Y37" s="383">
        <f>SUM(H37:K37)*$B$12</f>
        <v>0</v>
      </c>
      <c r="Z37" s="383">
        <f>SUM(L37:O37)*$B$12</f>
        <v>1401.6000000000001</v>
      </c>
      <c r="AA37" s="383">
        <f>SUM(P37:S37)*$B$12</f>
        <v>1401.6000000000001</v>
      </c>
      <c r="AB37" s="384">
        <f>SUM(T37:W37)*$B$12</f>
        <v>1401.6000000000001</v>
      </c>
      <c r="AC37" s="218">
        <f t="shared" si="4"/>
        <v>4204.8</v>
      </c>
    </row>
    <row r="38" spans="3:29" ht="16.5" thickTop="1" thickBot="1" x14ac:dyDescent="0.4">
      <c r="C38" s="162" t="s">
        <v>60</v>
      </c>
      <c r="D38" s="196">
        <v>0.5</v>
      </c>
      <c r="E38" s="97">
        <v>0.5</v>
      </c>
      <c r="F38" s="96">
        <v>0.5</v>
      </c>
      <c r="G38" s="197">
        <v>0.5</v>
      </c>
      <c r="H38" s="196">
        <v>0.5</v>
      </c>
      <c r="I38" s="97">
        <v>0.5</v>
      </c>
      <c r="J38" s="96">
        <v>0.5</v>
      </c>
      <c r="K38" s="197">
        <v>0.5</v>
      </c>
      <c r="L38" s="196">
        <v>0.3</v>
      </c>
      <c r="M38" s="97">
        <v>0.3</v>
      </c>
      <c r="N38" s="96">
        <v>0.3</v>
      </c>
      <c r="O38" s="197">
        <v>0.3</v>
      </c>
      <c r="P38" s="196">
        <v>0.3</v>
      </c>
      <c r="Q38" s="97">
        <v>0.3</v>
      </c>
      <c r="R38" s="96">
        <v>0.3</v>
      </c>
      <c r="S38" s="197">
        <v>0.3</v>
      </c>
      <c r="T38" s="198">
        <v>0.3</v>
      </c>
      <c r="U38" s="97">
        <v>0.3</v>
      </c>
      <c r="V38" s="96">
        <v>0.3</v>
      </c>
      <c r="W38" s="208">
        <v>0.3</v>
      </c>
      <c r="X38" s="382">
        <f>SUM(D38:G38)*$B$12</f>
        <v>876</v>
      </c>
      <c r="Y38" s="383">
        <f>SUM(H38:K38)*$B$12</f>
        <v>876</v>
      </c>
      <c r="Z38" s="383">
        <f>SUM(L38:O38)*$B$12</f>
        <v>525.6</v>
      </c>
      <c r="AA38" s="383">
        <f>SUM(P38:S38)*$B$12</f>
        <v>525.6</v>
      </c>
      <c r="AB38" s="384">
        <f>SUM(T38:W38)*$B$12</f>
        <v>525.6</v>
      </c>
      <c r="AC38" s="218">
        <f t="shared" si="4"/>
        <v>3328.7999999999997</v>
      </c>
    </row>
    <row r="39" spans="3:29" ht="16.5" thickTop="1" thickBot="1" x14ac:dyDescent="0.4">
      <c r="C39" s="178" t="s">
        <v>62</v>
      </c>
      <c r="D39" s="199">
        <v>0.4</v>
      </c>
      <c r="E39" s="200">
        <v>0.4</v>
      </c>
      <c r="F39" s="201">
        <v>0.4</v>
      </c>
      <c r="G39" s="202">
        <v>0.4</v>
      </c>
      <c r="H39" s="199">
        <v>0.4</v>
      </c>
      <c r="I39" s="200">
        <v>0.4</v>
      </c>
      <c r="J39" s="201">
        <v>0.4</v>
      </c>
      <c r="K39" s="202">
        <v>0.4</v>
      </c>
      <c r="L39" s="199">
        <v>0.4</v>
      </c>
      <c r="M39" s="200">
        <v>0.4</v>
      </c>
      <c r="N39" s="201">
        <v>0.4</v>
      </c>
      <c r="O39" s="202">
        <v>0.4</v>
      </c>
      <c r="P39" s="199">
        <v>0.4</v>
      </c>
      <c r="Q39" s="200">
        <v>0.4</v>
      </c>
      <c r="R39" s="201">
        <v>0.4</v>
      </c>
      <c r="S39" s="202">
        <v>0.4</v>
      </c>
      <c r="T39" s="203">
        <v>0.4</v>
      </c>
      <c r="U39" s="200">
        <v>0.4</v>
      </c>
      <c r="V39" s="201">
        <v>0.4</v>
      </c>
      <c r="W39" s="209">
        <v>0.4</v>
      </c>
      <c r="X39" s="382">
        <f>SUM(D39:G39)*$B$12</f>
        <v>700.80000000000007</v>
      </c>
      <c r="Y39" s="383">
        <f>SUM(H39:K39)*$B$12</f>
        <v>700.80000000000007</v>
      </c>
      <c r="Z39" s="383">
        <f>SUM(L39:O39)*$B$12</f>
        <v>700.80000000000007</v>
      </c>
      <c r="AA39" s="383">
        <f>SUM(P39:S39)*$B$12</f>
        <v>700.80000000000007</v>
      </c>
      <c r="AB39" s="384">
        <f>SUM(T39:W39)*$B$12</f>
        <v>700.80000000000007</v>
      </c>
      <c r="AC39" s="218">
        <f t="shared" si="4"/>
        <v>3504.0000000000005</v>
      </c>
    </row>
    <row r="40" spans="3:29" ht="16.5" thickTop="1" thickBot="1" x14ac:dyDescent="0.4">
      <c r="C40" s="204" t="s">
        <v>9</v>
      </c>
      <c r="D40" s="210">
        <f t="shared" ref="D40:AB40" si="5">SUM(D35:D39)</f>
        <v>2</v>
      </c>
      <c r="E40" s="211">
        <f t="shared" si="5"/>
        <v>2</v>
      </c>
      <c r="F40" s="212">
        <f t="shared" si="5"/>
        <v>2</v>
      </c>
      <c r="G40" s="213">
        <f t="shared" si="5"/>
        <v>2</v>
      </c>
      <c r="H40" s="210">
        <f t="shared" si="5"/>
        <v>2</v>
      </c>
      <c r="I40" s="211">
        <f t="shared" si="5"/>
        <v>2</v>
      </c>
      <c r="J40" s="212">
        <f t="shared" si="5"/>
        <v>2</v>
      </c>
      <c r="K40" s="213">
        <f t="shared" si="5"/>
        <v>2</v>
      </c>
      <c r="L40" s="210">
        <f t="shared" si="5"/>
        <v>2</v>
      </c>
      <c r="M40" s="211">
        <f t="shared" si="5"/>
        <v>2</v>
      </c>
      <c r="N40" s="212">
        <f t="shared" si="5"/>
        <v>2</v>
      </c>
      <c r="O40" s="213">
        <f t="shared" si="5"/>
        <v>2</v>
      </c>
      <c r="P40" s="210">
        <f t="shared" si="5"/>
        <v>2</v>
      </c>
      <c r="Q40" s="211">
        <f t="shared" si="5"/>
        <v>2</v>
      </c>
      <c r="R40" s="212">
        <f t="shared" si="5"/>
        <v>2</v>
      </c>
      <c r="S40" s="213">
        <f t="shared" si="5"/>
        <v>2</v>
      </c>
      <c r="T40" s="214">
        <f t="shared" si="5"/>
        <v>2</v>
      </c>
      <c r="U40" s="211">
        <f t="shared" si="5"/>
        <v>2</v>
      </c>
      <c r="V40" s="212">
        <f t="shared" si="5"/>
        <v>2</v>
      </c>
      <c r="W40" s="215">
        <f t="shared" si="5"/>
        <v>2</v>
      </c>
      <c r="X40" s="216">
        <f t="shared" si="5"/>
        <v>3504</v>
      </c>
      <c r="Y40" s="371">
        <f t="shared" si="5"/>
        <v>3504</v>
      </c>
      <c r="Z40" s="371">
        <f t="shared" si="5"/>
        <v>3504.0000000000005</v>
      </c>
      <c r="AA40" s="371">
        <f t="shared" si="5"/>
        <v>3504.0000000000005</v>
      </c>
      <c r="AB40" s="372">
        <f t="shared" si="5"/>
        <v>3504.0000000000005</v>
      </c>
      <c r="AC40" s="218">
        <f t="shared" si="4"/>
        <v>17520</v>
      </c>
    </row>
    <row r="41" spans="3:29" ht="16" thickBot="1" x14ac:dyDescent="0.4"/>
    <row r="42" spans="3:29" ht="16.5" thickTop="1" thickBot="1" x14ac:dyDescent="0.4">
      <c r="D42" s="412" t="s">
        <v>51</v>
      </c>
      <c r="E42" s="413"/>
      <c r="F42" s="413"/>
      <c r="G42" s="414"/>
      <c r="H42" s="413" t="s">
        <v>52</v>
      </c>
      <c r="I42" s="413"/>
      <c r="J42" s="413"/>
      <c r="K42" s="414"/>
      <c r="L42" s="412" t="s">
        <v>53</v>
      </c>
      <c r="M42" s="413"/>
      <c r="N42" s="413"/>
      <c r="O42" s="414"/>
      <c r="P42" s="412" t="s">
        <v>54</v>
      </c>
      <c r="Q42" s="413"/>
      <c r="R42" s="413"/>
      <c r="S42" s="414"/>
      <c r="T42" s="412" t="s">
        <v>55</v>
      </c>
      <c r="U42" s="413"/>
      <c r="V42" s="413"/>
      <c r="W42" s="413"/>
      <c r="X42" s="407" t="s">
        <v>45</v>
      </c>
      <c r="Y42" s="408"/>
      <c r="Z42" s="408"/>
      <c r="AA42" s="408"/>
      <c r="AB42" s="408"/>
      <c r="AC42" s="409"/>
    </row>
    <row r="43" spans="3:29" ht="16.5" thickTop="1" thickBot="1" x14ac:dyDescent="0.4">
      <c r="C43" s="184" t="s">
        <v>67</v>
      </c>
      <c r="D43" s="410" t="s">
        <v>58</v>
      </c>
      <c r="E43" s="405"/>
      <c r="F43" s="405" t="s">
        <v>59</v>
      </c>
      <c r="G43" s="411"/>
      <c r="H43" s="410" t="s">
        <v>58</v>
      </c>
      <c r="I43" s="405"/>
      <c r="J43" s="405" t="s">
        <v>59</v>
      </c>
      <c r="K43" s="411"/>
      <c r="L43" s="410" t="s">
        <v>58</v>
      </c>
      <c r="M43" s="405"/>
      <c r="N43" s="405" t="s">
        <v>59</v>
      </c>
      <c r="O43" s="411"/>
      <c r="P43" s="410" t="s">
        <v>58</v>
      </c>
      <c r="Q43" s="405"/>
      <c r="R43" s="405" t="s">
        <v>59</v>
      </c>
      <c r="S43" s="411"/>
      <c r="T43" s="410" t="s">
        <v>58</v>
      </c>
      <c r="U43" s="405"/>
      <c r="V43" s="405" t="s">
        <v>59</v>
      </c>
      <c r="W43" s="406"/>
      <c r="X43" s="219" t="s">
        <v>51</v>
      </c>
      <c r="Y43" s="220" t="s">
        <v>52</v>
      </c>
      <c r="Z43" s="220" t="s">
        <v>53</v>
      </c>
      <c r="AA43" s="220" t="s">
        <v>54</v>
      </c>
      <c r="AB43" s="221" t="s">
        <v>55</v>
      </c>
      <c r="AC43" s="217" t="s">
        <v>9</v>
      </c>
    </row>
    <row r="44" spans="3:29" ht="16.5" thickTop="1" thickBot="1" x14ac:dyDescent="0.4">
      <c r="C44" s="160" t="s">
        <v>61</v>
      </c>
      <c r="D44" s="185">
        <v>0</v>
      </c>
      <c r="E44" s="90">
        <v>0</v>
      </c>
      <c r="F44" s="89">
        <v>0</v>
      </c>
      <c r="G44" s="98">
        <v>0</v>
      </c>
      <c r="H44" s="185">
        <v>0</v>
      </c>
      <c r="I44" s="90">
        <v>0</v>
      </c>
      <c r="J44" s="89">
        <v>0</v>
      </c>
      <c r="K44" s="98">
        <v>0</v>
      </c>
      <c r="L44" s="185">
        <v>0</v>
      </c>
      <c r="M44" s="90">
        <v>0</v>
      </c>
      <c r="N44" s="89">
        <v>0</v>
      </c>
      <c r="O44" s="98">
        <v>0</v>
      </c>
      <c r="P44" s="185">
        <v>0</v>
      </c>
      <c r="Q44" s="90">
        <v>0</v>
      </c>
      <c r="R44" s="89">
        <v>0</v>
      </c>
      <c r="S44" s="98">
        <v>0</v>
      </c>
      <c r="T44" s="186">
        <v>0</v>
      </c>
      <c r="U44" s="90">
        <v>0</v>
      </c>
      <c r="V44" s="89">
        <v>0</v>
      </c>
      <c r="W44" s="205">
        <v>0</v>
      </c>
      <c r="X44" s="382">
        <f>SUM(D44:G44)*$B$12</f>
        <v>0</v>
      </c>
      <c r="Y44" s="383">
        <f>SUM(H44:K44)*$B$12</f>
        <v>0</v>
      </c>
      <c r="Z44" s="383">
        <f>SUM(L44:O44)*$B$12</f>
        <v>0</v>
      </c>
      <c r="AA44" s="383">
        <f>SUM(P44:S44)*$B$12</f>
        <v>0</v>
      </c>
      <c r="AB44" s="384">
        <f>SUM(T44:W44)*$B$12</f>
        <v>0</v>
      </c>
      <c r="AC44" s="218">
        <f t="shared" ref="AC44:AC49" si="6">SUM(X44:AB44)</f>
        <v>0</v>
      </c>
    </row>
    <row r="45" spans="3:29" ht="16.5" thickTop="1" thickBot="1" x14ac:dyDescent="0.4">
      <c r="C45" s="172" t="s">
        <v>56</v>
      </c>
      <c r="D45" s="187">
        <v>1.8</v>
      </c>
      <c r="E45" s="188">
        <v>1.8</v>
      </c>
      <c r="F45" s="189">
        <v>1.8</v>
      </c>
      <c r="G45" s="190">
        <v>1.8</v>
      </c>
      <c r="H45" s="187">
        <v>1.8</v>
      </c>
      <c r="I45" s="188">
        <v>1.8</v>
      </c>
      <c r="J45" s="189">
        <v>1.8</v>
      </c>
      <c r="K45" s="190">
        <v>1.8</v>
      </c>
      <c r="L45" s="187">
        <v>0.8</v>
      </c>
      <c r="M45" s="188">
        <v>0.8</v>
      </c>
      <c r="N45" s="189">
        <v>0.8</v>
      </c>
      <c r="O45" s="190">
        <v>0.8</v>
      </c>
      <c r="P45" s="187">
        <v>0.8</v>
      </c>
      <c r="Q45" s="188">
        <v>0.8</v>
      </c>
      <c r="R45" s="189">
        <v>0.8</v>
      </c>
      <c r="S45" s="190">
        <v>0.8</v>
      </c>
      <c r="T45" s="191">
        <v>0.8</v>
      </c>
      <c r="U45" s="188">
        <v>0.8</v>
      </c>
      <c r="V45" s="189">
        <v>0.8</v>
      </c>
      <c r="W45" s="206">
        <v>0.8</v>
      </c>
      <c r="X45" s="382">
        <f>SUM(D45:G45)*$B$12</f>
        <v>3153.6</v>
      </c>
      <c r="Y45" s="383">
        <f>SUM(H45:K45)*$B$12</f>
        <v>3153.6</v>
      </c>
      <c r="Z45" s="383">
        <f>SUM(L45:O45)*$B$12</f>
        <v>1401.6000000000001</v>
      </c>
      <c r="AA45" s="383">
        <f>SUM(P45:S45)*$B$12</f>
        <v>1401.6000000000001</v>
      </c>
      <c r="AB45" s="384">
        <f>SUM(T45:W45)*$B$12</f>
        <v>1401.6000000000001</v>
      </c>
      <c r="AC45" s="218">
        <f t="shared" si="6"/>
        <v>10512</v>
      </c>
    </row>
    <row r="46" spans="3:29" ht="16.5" thickTop="1" thickBot="1" x14ac:dyDescent="0.4">
      <c r="C46" s="161" t="s">
        <v>57</v>
      </c>
      <c r="D46" s="192"/>
      <c r="E46" s="92"/>
      <c r="F46" s="91"/>
      <c r="G46" s="93"/>
      <c r="H46" s="192"/>
      <c r="I46" s="92"/>
      <c r="J46" s="91"/>
      <c r="K46" s="93"/>
      <c r="L46" s="193">
        <v>1.4</v>
      </c>
      <c r="M46" s="95">
        <v>1.4</v>
      </c>
      <c r="N46" s="94">
        <v>1.4</v>
      </c>
      <c r="O46" s="194">
        <v>1.4</v>
      </c>
      <c r="P46" s="193">
        <v>1.4</v>
      </c>
      <c r="Q46" s="95">
        <v>1.4</v>
      </c>
      <c r="R46" s="94">
        <v>1.4</v>
      </c>
      <c r="S46" s="194">
        <v>1.4</v>
      </c>
      <c r="T46" s="195">
        <v>1.4</v>
      </c>
      <c r="U46" s="95">
        <v>1.4</v>
      </c>
      <c r="V46" s="94">
        <v>1.4</v>
      </c>
      <c r="W46" s="207">
        <v>1.4</v>
      </c>
      <c r="X46" s="382">
        <f>SUM(D46:G46)*$B$12</f>
        <v>0</v>
      </c>
      <c r="Y46" s="383">
        <f>SUM(H46:K46)*$B$12</f>
        <v>0</v>
      </c>
      <c r="Z46" s="383">
        <f>SUM(L46:O46)*$B$12</f>
        <v>2452.7999999999997</v>
      </c>
      <c r="AA46" s="383">
        <f>SUM(P46:S46)*$B$12</f>
        <v>2452.7999999999997</v>
      </c>
      <c r="AB46" s="384">
        <f>SUM(T46:W46)*$B$12</f>
        <v>2452.7999999999997</v>
      </c>
      <c r="AC46" s="218">
        <f t="shared" si="6"/>
        <v>7358.4</v>
      </c>
    </row>
    <row r="47" spans="3:29" ht="16.5" thickTop="1" thickBot="1" x14ac:dyDescent="0.4">
      <c r="C47" s="162" t="s">
        <v>60</v>
      </c>
      <c r="D47" s="196">
        <v>1.2</v>
      </c>
      <c r="E47" s="97">
        <v>1.2</v>
      </c>
      <c r="F47" s="96">
        <v>1.2</v>
      </c>
      <c r="G47" s="197">
        <v>1.2</v>
      </c>
      <c r="H47" s="196">
        <v>1.2</v>
      </c>
      <c r="I47" s="97">
        <v>1.2</v>
      </c>
      <c r="J47" s="96">
        <v>1.2</v>
      </c>
      <c r="K47" s="197">
        <v>1.2</v>
      </c>
      <c r="L47" s="196">
        <v>0.8</v>
      </c>
      <c r="M47" s="97">
        <v>0.8</v>
      </c>
      <c r="N47" s="96">
        <v>0.8</v>
      </c>
      <c r="O47" s="197">
        <v>0.8</v>
      </c>
      <c r="P47" s="196">
        <v>0.8</v>
      </c>
      <c r="Q47" s="97">
        <v>0.8</v>
      </c>
      <c r="R47" s="96">
        <v>0.8</v>
      </c>
      <c r="S47" s="197">
        <v>0.8</v>
      </c>
      <c r="T47" s="198">
        <v>0.8</v>
      </c>
      <c r="U47" s="97">
        <v>0.8</v>
      </c>
      <c r="V47" s="96">
        <v>0.8</v>
      </c>
      <c r="W47" s="208">
        <v>0.8</v>
      </c>
      <c r="X47" s="382">
        <f>SUM(D47:G47)*$B$12</f>
        <v>2102.4</v>
      </c>
      <c r="Y47" s="383">
        <f>SUM(H47:K47)*$B$12</f>
        <v>2102.4</v>
      </c>
      <c r="Z47" s="383">
        <f>SUM(L47:O47)*$B$12</f>
        <v>1401.6000000000001</v>
      </c>
      <c r="AA47" s="383">
        <f>SUM(P47:S47)*$B$12</f>
        <v>1401.6000000000001</v>
      </c>
      <c r="AB47" s="384">
        <f>SUM(T47:W47)*$B$12</f>
        <v>1401.6000000000001</v>
      </c>
      <c r="AC47" s="218">
        <f t="shared" si="6"/>
        <v>8409.6</v>
      </c>
    </row>
    <row r="48" spans="3:29" ht="16.5" thickTop="1" thickBot="1" x14ac:dyDescent="0.4">
      <c r="C48" s="178" t="s">
        <v>62</v>
      </c>
      <c r="D48" s="199">
        <v>1</v>
      </c>
      <c r="E48" s="200">
        <v>1</v>
      </c>
      <c r="F48" s="201">
        <v>1</v>
      </c>
      <c r="G48" s="202">
        <v>1</v>
      </c>
      <c r="H48" s="199">
        <v>1</v>
      </c>
      <c r="I48" s="200">
        <v>1</v>
      </c>
      <c r="J48" s="201">
        <v>1</v>
      </c>
      <c r="K48" s="202">
        <v>1</v>
      </c>
      <c r="L48" s="199">
        <v>1</v>
      </c>
      <c r="M48" s="200">
        <v>1</v>
      </c>
      <c r="N48" s="201">
        <v>1</v>
      </c>
      <c r="O48" s="202">
        <v>1</v>
      </c>
      <c r="P48" s="199">
        <v>1</v>
      </c>
      <c r="Q48" s="200">
        <v>1</v>
      </c>
      <c r="R48" s="201">
        <v>1</v>
      </c>
      <c r="S48" s="202">
        <v>1</v>
      </c>
      <c r="T48" s="203">
        <v>1</v>
      </c>
      <c r="U48" s="200">
        <v>1</v>
      </c>
      <c r="V48" s="201">
        <v>1</v>
      </c>
      <c r="W48" s="209">
        <v>1</v>
      </c>
      <c r="X48" s="382">
        <f>SUM(D48:G48)*$B$12</f>
        <v>1752</v>
      </c>
      <c r="Y48" s="383">
        <f>SUM(H48:K48)*$B$12</f>
        <v>1752</v>
      </c>
      <c r="Z48" s="383">
        <f>SUM(L48:O48)*$B$12</f>
        <v>1752</v>
      </c>
      <c r="AA48" s="383">
        <f>SUM(P48:S48)*$B$12</f>
        <v>1752</v>
      </c>
      <c r="AB48" s="384">
        <f>SUM(T48:W48)*$B$12</f>
        <v>1752</v>
      </c>
      <c r="AC48" s="218">
        <f t="shared" si="6"/>
        <v>8760</v>
      </c>
    </row>
    <row r="49" spans="3:29" ht="16.5" thickTop="1" thickBot="1" x14ac:dyDescent="0.4">
      <c r="C49" s="204" t="s">
        <v>9</v>
      </c>
      <c r="D49" s="210">
        <f t="shared" ref="D49:AB49" si="7">SUM(D44:D48)</f>
        <v>4</v>
      </c>
      <c r="E49" s="211">
        <f t="shared" si="7"/>
        <v>4</v>
      </c>
      <c r="F49" s="212">
        <f t="shared" si="7"/>
        <v>4</v>
      </c>
      <c r="G49" s="213">
        <f t="shared" si="7"/>
        <v>4</v>
      </c>
      <c r="H49" s="210">
        <f t="shared" si="7"/>
        <v>4</v>
      </c>
      <c r="I49" s="211">
        <f t="shared" si="7"/>
        <v>4</v>
      </c>
      <c r="J49" s="212">
        <f t="shared" si="7"/>
        <v>4</v>
      </c>
      <c r="K49" s="213">
        <f t="shared" si="7"/>
        <v>4</v>
      </c>
      <c r="L49" s="210">
        <f t="shared" si="7"/>
        <v>4</v>
      </c>
      <c r="M49" s="211">
        <f t="shared" si="7"/>
        <v>4</v>
      </c>
      <c r="N49" s="212">
        <f t="shared" si="7"/>
        <v>4</v>
      </c>
      <c r="O49" s="213">
        <f t="shared" si="7"/>
        <v>4</v>
      </c>
      <c r="P49" s="210">
        <f t="shared" si="7"/>
        <v>4</v>
      </c>
      <c r="Q49" s="211">
        <f t="shared" si="7"/>
        <v>4</v>
      </c>
      <c r="R49" s="212">
        <f t="shared" si="7"/>
        <v>4</v>
      </c>
      <c r="S49" s="213">
        <f t="shared" si="7"/>
        <v>4</v>
      </c>
      <c r="T49" s="214">
        <f t="shared" si="7"/>
        <v>4</v>
      </c>
      <c r="U49" s="211">
        <f t="shared" si="7"/>
        <v>4</v>
      </c>
      <c r="V49" s="212">
        <f t="shared" si="7"/>
        <v>4</v>
      </c>
      <c r="W49" s="215">
        <f t="shared" si="7"/>
        <v>4</v>
      </c>
      <c r="X49" s="216">
        <f t="shared" si="7"/>
        <v>7008</v>
      </c>
      <c r="Y49" s="371">
        <f t="shared" si="7"/>
        <v>7008</v>
      </c>
      <c r="Z49" s="371">
        <f t="shared" si="7"/>
        <v>7008</v>
      </c>
      <c r="AA49" s="371">
        <f t="shared" si="7"/>
        <v>7008</v>
      </c>
      <c r="AB49" s="372">
        <f t="shared" si="7"/>
        <v>7008</v>
      </c>
      <c r="AC49" s="218">
        <f t="shared" si="6"/>
        <v>35040</v>
      </c>
    </row>
    <row r="50" spans="3:29" ht="16" thickBot="1" x14ac:dyDescent="0.4"/>
    <row r="51" spans="3:29" ht="16.5" thickTop="1" thickBot="1" x14ac:dyDescent="0.4">
      <c r="D51" s="412" t="s">
        <v>51</v>
      </c>
      <c r="E51" s="413"/>
      <c r="F51" s="413"/>
      <c r="G51" s="414"/>
      <c r="H51" s="413" t="s">
        <v>52</v>
      </c>
      <c r="I51" s="413"/>
      <c r="J51" s="413"/>
      <c r="K51" s="414"/>
      <c r="L51" s="412" t="s">
        <v>53</v>
      </c>
      <c r="M51" s="413"/>
      <c r="N51" s="413"/>
      <c r="O51" s="414"/>
      <c r="P51" s="412" t="s">
        <v>54</v>
      </c>
      <c r="Q51" s="413"/>
      <c r="R51" s="413"/>
      <c r="S51" s="414"/>
      <c r="T51" s="412" t="s">
        <v>55</v>
      </c>
      <c r="U51" s="413"/>
      <c r="V51" s="413"/>
      <c r="W51" s="413"/>
      <c r="X51" s="407" t="s">
        <v>45</v>
      </c>
      <c r="Y51" s="408"/>
      <c r="Z51" s="408"/>
      <c r="AA51" s="408"/>
      <c r="AB51" s="408"/>
      <c r="AC51" s="409"/>
    </row>
    <row r="52" spans="3:29" ht="16.5" thickTop="1" thickBot="1" x14ac:dyDescent="0.4">
      <c r="C52" s="184" t="s">
        <v>9</v>
      </c>
      <c r="D52" s="410" t="s">
        <v>58</v>
      </c>
      <c r="E52" s="405"/>
      <c r="F52" s="405" t="s">
        <v>59</v>
      </c>
      <c r="G52" s="411"/>
      <c r="H52" s="410" t="s">
        <v>58</v>
      </c>
      <c r="I52" s="405"/>
      <c r="J52" s="405" t="s">
        <v>59</v>
      </c>
      <c r="K52" s="411"/>
      <c r="L52" s="410" t="s">
        <v>58</v>
      </c>
      <c r="M52" s="405"/>
      <c r="N52" s="405" t="s">
        <v>59</v>
      </c>
      <c r="O52" s="411"/>
      <c r="P52" s="410" t="s">
        <v>58</v>
      </c>
      <c r="Q52" s="405"/>
      <c r="R52" s="405" t="s">
        <v>59</v>
      </c>
      <c r="S52" s="411"/>
      <c r="T52" s="410" t="s">
        <v>58</v>
      </c>
      <c r="U52" s="405"/>
      <c r="V52" s="405" t="s">
        <v>59</v>
      </c>
      <c r="W52" s="406"/>
      <c r="X52" s="219" t="s">
        <v>51</v>
      </c>
      <c r="Y52" s="220" t="s">
        <v>52</v>
      </c>
      <c r="Z52" s="220" t="s">
        <v>53</v>
      </c>
      <c r="AA52" s="220" t="s">
        <v>54</v>
      </c>
      <c r="AB52" s="221" t="s">
        <v>55</v>
      </c>
      <c r="AC52" s="217" t="s">
        <v>9</v>
      </c>
    </row>
    <row r="53" spans="3:29" ht="16.5" thickTop="1" thickBot="1" x14ac:dyDescent="0.4">
      <c r="C53" s="160" t="s">
        <v>61</v>
      </c>
      <c r="D53" s="185">
        <f>D17+D26+D35+D44</f>
        <v>0.60000000000000009</v>
      </c>
      <c r="E53" s="90">
        <f t="shared" ref="E53:W53" si="8">E17+E26+E35+E44</f>
        <v>0.60000000000000009</v>
      </c>
      <c r="F53" s="89">
        <f t="shared" si="8"/>
        <v>0.60000000000000009</v>
      </c>
      <c r="G53" s="98">
        <f t="shared" si="8"/>
        <v>0.60000000000000009</v>
      </c>
      <c r="H53" s="185">
        <f t="shared" si="8"/>
        <v>0.60000000000000009</v>
      </c>
      <c r="I53" s="90">
        <f t="shared" si="8"/>
        <v>0.60000000000000009</v>
      </c>
      <c r="J53" s="89">
        <f t="shared" si="8"/>
        <v>0.60000000000000009</v>
      </c>
      <c r="K53" s="98">
        <f t="shared" si="8"/>
        <v>0.60000000000000009</v>
      </c>
      <c r="L53" s="185">
        <f t="shared" si="8"/>
        <v>0.4</v>
      </c>
      <c r="M53" s="90">
        <f t="shared" si="8"/>
        <v>0.4</v>
      </c>
      <c r="N53" s="89">
        <f t="shared" si="8"/>
        <v>0.4</v>
      </c>
      <c r="O53" s="98">
        <f t="shared" si="8"/>
        <v>0.4</v>
      </c>
      <c r="P53" s="185">
        <f t="shared" si="8"/>
        <v>0.4</v>
      </c>
      <c r="Q53" s="90">
        <f t="shared" si="8"/>
        <v>0.4</v>
      </c>
      <c r="R53" s="89">
        <f t="shared" si="8"/>
        <v>0.4</v>
      </c>
      <c r="S53" s="98">
        <f t="shared" si="8"/>
        <v>0.4</v>
      </c>
      <c r="T53" s="186">
        <f t="shared" si="8"/>
        <v>0.4</v>
      </c>
      <c r="U53" s="90">
        <f t="shared" si="8"/>
        <v>0.4</v>
      </c>
      <c r="V53" s="89">
        <f t="shared" si="8"/>
        <v>0.4</v>
      </c>
      <c r="W53" s="205">
        <f t="shared" si="8"/>
        <v>0.4</v>
      </c>
      <c r="X53" s="385">
        <f>SUM(D53:G53)*$B$12</f>
        <v>1051.2</v>
      </c>
      <c r="Y53" s="386">
        <f>SUM(H53:K53)*$B$12</f>
        <v>1051.2</v>
      </c>
      <c r="Z53" s="386">
        <f>SUM(L53:O53)*$B$12</f>
        <v>700.80000000000007</v>
      </c>
      <c r="AA53" s="386">
        <f>SUM(P53:S53)*$B$12</f>
        <v>700.80000000000007</v>
      </c>
      <c r="AB53" s="387">
        <f>SUM(T53:W53)*$B$12</f>
        <v>700.80000000000007</v>
      </c>
      <c r="AC53" s="218">
        <f t="shared" ref="AC53:AC58" si="9">SUM(X53:AB53)</f>
        <v>4204.8</v>
      </c>
    </row>
    <row r="54" spans="3:29" ht="16.5" thickTop="1" thickBot="1" x14ac:dyDescent="0.4">
      <c r="C54" s="172" t="s">
        <v>56</v>
      </c>
      <c r="D54" s="187">
        <f t="shared" ref="D54:W54" si="10">D18+D27+D36+D45</f>
        <v>2.9000000000000004</v>
      </c>
      <c r="E54" s="188">
        <f t="shared" si="10"/>
        <v>2.9000000000000004</v>
      </c>
      <c r="F54" s="189">
        <f t="shared" si="10"/>
        <v>2.9000000000000004</v>
      </c>
      <c r="G54" s="190">
        <f t="shared" si="10"/>
        <v>2.9000000000000004</v>
      </c>
      <c r="H54" s="187">
        <f t="shared" si="10"/>
        <v>2.9000000000000004</v>
      </c>
      <c r="I54" s="188">
        <f t="shared" si="10"/>
        <v>2.9000000000000004</v>
      </c>
      <c r="J54" s="189">
        <f t="shared" si="10"/>
        <v>2.9000000000000004</v>
      </c>
      <c r="K54" s="190">
        <f t="shared" si="10"/>
        <v>2.9000000000000004</v>
      </c>
      <c r="L54" s="187">
        <f t="shared" si="10"/>
        <v>1.3</v>
      </c>
      <c r="M54" s="188">
        <f t="shared" si="10"/>
        <v>1.3</v>
      </c>
      <c r="N54" s="189">
        <f t="shared" si="10"/>
        <v>1.3</v>
      </c>
      <c r="O54" s="190">
        <f t="shared" si="10"/>
        <v>1.3</v>
      </c>
      <c r="P54" s="187">
        <f t="shared" si="10"/>
        <v>1.3</v>
      </c>
      <c r="Q54" s="188">
        <f t="shared" si="10"/>
        <v>1.3</v>
      </c>
      <c r="R54" s="189">
        <f t="shared" si="10"/>
        <v>1.3</v>
      </c>
      <c r="S54" s="190">
        <f t="shared" si="10"/>
        <v>1.3</v>
      </c>
      <c r="T54" s="191">
        <f t="shared" si="10"/>
        <v>1.3</v>
      </c>
      <c r="U54" s="188">
        <f t="shared" si="10"/>
        <v>1.3</v>
      </c>
      <c r="V54" s="189">
        <f t="shared" si="10"/>
        <v>1.3</v>
      </c>
      <c r="W54" s="206">
        <f t="shared" si="10"/>
        <v>1.3</v>
      </c>
      <c r="X54" s="385">
        <f>SUM(D54:G54)*$B$12</f>
        <v>5080.8</v>
      </c>
      <c r="Y54" s="386">
        <f>SUM(H54:K54)*$B$12</f>
        <v>5080.8</v>
      </c>
      <c r="Z54" s="386">
        <f>SUM(L54:O54)*$B$12</f>
        <v>2277.6</v>
      </c>
      <c r="AA54" s="386">
        <f>SUM(P54:S54)*$B$12</f>
        <v>2277.6</v>
      </c>
      <c r="AB54" s="387">
        <f>SUM(T54:W54)*$B$12</f>
        <v>2277.6</v>
      </c>
      <c r="AC54" s="218">
        <f t="shared" si="9"/>
        <v>16994.400000000001</v>
      </c>
    </row>
    <row r="55" spans="3:29" ht="16.5" thickTop="1" thickBot="1" x14ac:dyDescent="0.4">
      <c r="C55" s="161" t="s">
        <v>57</v>
      </c>
      <c r="D55" s="192">
        <f t="shared" ref="D55:W55" si="11">D19+D28+D37+D46</f>
        <v>0</v>
      </c>
      <c r="E55" s="92">
        <f t="shared" si="11"/>
        <v>0</v>
      </c>
      <c r="F55" s="91">
        <f t="shared" si="11"/>
        <v>0</v>
      </c>
      <c r="G55" s="93">
        <f t="shared" si="11"/>
        <v>0</v>
      </c>
      <c r="H55" s="192">
        <f t="shared" si="11"/>
        <v>0</v>
      </c>
      <c r="I55" s="92">
        <f t="shared" si="11"/>
        <v>0</v>
      </c>
      <c r="J55" s="91">
        <f t="shared" si="11"/>
        <v>0</v>
      </c>
      <c r="K55" s="93">
        <f t="shared" si="11"/>
        <v>0</v>
      </c>
      <c r="L55" s="193">
        <f t="shared" si="11"/>
        <v>2.5499999999999998</v>
      </c>
      <c r="M55" s="95">
        <f t="shared" si="11"/>
        <v>2.5499999999999998</v>
      </c>
      <c r="N55" s="94">
        <f t="shared" si="11"/>
        <v>2.5499999999999998</v>
      </c>
      <c r="O55" s="194">
        <f t="shared" si="11"/>
        <v>2.5499999999999998</v>
      </c>
      <c r="P55" s="193">
        <f t="shared" si="11"/>
        <v>2.5499999999999998</v>
      </c>
      <c r="Q55" s="95">
        <f t="shared" si="11"/>
        <v>2.5499999999999998</v>
      </c>
      <c r="R55" s="94">
        <f t="shared" si="11"/>
        <v>2.5499999999999998</v>
      </c>
      <c r="S55" s="194">
        <f t="shared" si="11"/>
        <v>2.5499999999999998</v>
      </c>
      <c r="T55" s="195">
        <f t="shared" si="11"/>
        <v>2.5499999999999998</v>
      </c>
      <c r="U55" s="95">
        <f t="shared" si="11"/>
        <v>2.5499999999999998</v>
      </c>
      <c r="V55" s="94">
        <f t="shared" si="11"/>
        <v>2.5499999999999998</v>
      </c>
      <c r="W55" s="207">
        <f t="shared" si="11"/>
        <v>2.5499999999999998</v>
      </c>
      <c r="X55" s="385">
        <f>SUM(D55:G55)*$B$12</f>
        <v>0</v>
      </c>
      <c r="Y55" s="386">
        <f>SUM(H55:K55)*$B$12</f>
        <v>0</v>
      </c>
      <c r="Z55" s="386">
        <f>SUM(L55:O55)*$B$12</f>
        <v>4467.5999999999995</v>
      </c>
      <c r="AA55" s="386">
        <f>SUM(P55:S55)*$B$12</f>
        <v>4467.5999999999995</v>
      </c>
      <c r="AB55" s="387">
        <f>SUM(T55:W55)*$B$12</f>
        <v>4467.5999999999995</v>
      </c>
      <c r="AC55" s="218">
        <f t="shared" si="9"/>
        <v>13402.8</v>
      </c>
    </row>
    <row r="56" spans="3:29" ht="16.5" thickTop="1" thickBot="1" x14ac:dyDescent="0.4">
      <c r="C56" s="162" t="s">
        <v>60</v>
      </c>
      <c r="D56" s="196">
        <f t="shared" ref="D56:W56" si="12">D20+D29+D38+D47</f>
        <v>1.95</v>
      </c>
      <c r="E56" s="97">
        <f t="shared" si="12"/>
        <v>1.95</v>
      </c>
      <c r="F56" s="96">
        <f t="shared" si="12"/>
        <v>1.95</v>
      </c>
      <c r="G56" s="197">
        <f t="shared" si="12"/>
        <v>1.95</v>
      </c>
      <c r="H56" s="196">
        <f t="shared" si="12"/>
        <v>1.95</v>
      </c>
      <c r="I56" s="97">
        <f t="shared" si="12"/>
        <v>1.95</v>
      </c>
      <c r="J56" s="96">
        <f t="shared" si="12"/>
        <v>1.95</v>
      </c>
      <c r="K56" s="197">
        <f t="shared" si="12"/>
        <v>1.95</v>
      </c>
      <c r="L56" s="196">
        <f t="shared" si="12"/>
        <v>1.2000000000000002</v>
      </c>
      <c r="M56" s="97">
        <f t="shared" si="12"/>
        <v>1.2000000000000002</v>
      </c>
      <c r="N56" s="96">
        <f t="shared" si="12"/>
        <v>1.2000000000000002</v>
      </c>
      <c r="O56" s="197">
        <f t="shared" si="12"/>
        <v>1.2000000000000002</v>
      </c>
      <c r="P56" s="196">
        <f t="shared" si="12"/>
        <v>1.2000000000000002</v>
      </c>
      <c r="Q56" s="97">
        <f t="shared" si="12"/>
        <v>1.2000000000000002</v>
      </c>
      <c r="R56" s="96">
        <f t="shared" si="12"/>
        <v>1.2000000000000002</v>
      </c>
      <c r="S56" s="197">
        <f t="shared" si="12"/>
        <v>1.2000000000000002</v>
      </c>
      <c r="T56" s="198">
        <f t="shared" si="12"/>
        <v>1.2000000000000002</v>
      </c>
      <c r="U56" s="97">
        <f t="shared" si="12"/>
        <v>1.2000000000000002</v>
      </c>
      <c r="V56" s="96">
        <f t="shared" si="12"/>
        <v>1.2000000000000002</v>
      </c>
      <c r="W56" s="208">
        <f t="shared" si="12"/>
        <v>1.2000000000000002</v>
      </c>
      <c r="X56" s="385">
        <f>SUM(D56:G56)*$B$12</f>
        <v>3416.4</v>
      </c>
      <c r="Y56" s="386">
        <f>SUM(H56:K56)*$B$12</f>
        <v>3416.4</v>
      </c>
      <c r="Z56" s="386">
        <f>SUM(L56:O56)*$B$12</f>
        <v>2102.4</v>
      </c>
      <c r="AA56" s="386">
        <f>SUM(P56:S56)*$B$12</f>
        <v>2102.4</v>
      </c>
      <c r="AB56" s="387">
        <f>SUM(T56:W56)*$B$12</f>
        <v>2102.4</v>
      </c>
      <c r="AC56" s="218">
        <f t="shared" si="9"/>
        <v>13140</v>
      </c>
    </row>
    <row r="57" spans="3:29" ht="16.5" thickTop="1" thickBot="1" x14ac:dyDescent="0.4">
      <c r="C57" s="178" t="s">
        <v>62</v>
      </c>
      <c r="D57" s="199">
        <f t="shared" ref="D57:W57" si="13">D21+D30+D39+D48</f>
        <v>1.55</v>
      </c>
      <c r="E57" s="200">
        <f t="shared" si="13"/>
        <v>1.55</v>
      </c>
      <c r="F57" s="201">
        <f t="shared" si="13"/>
        <v>1.55</v>
      </c>
      <c r="G57" s="202">
        <f t="shared" si="13"/>
        <v>1.55</v>
      </c>
      <c r="H57" s="199">
        <f t="shared" si="13"/>
        <v>1.55</v>
      </c>
      <c r="I57" s="200">
        <f t="shared" si="13"/>
        <v>1.55</v>
      </c>
      <c r="J57" s="201">
        <f t="shared" si="13"/>
        <v>1.55</v>
      </c>
      <c r="K57" s="202">
        <f t="shared" si="13"/>
        <v>1.55</v>
      </c>
      <c r="L57" s="199">
        <f t="shared" si="13"/>
        <v>1.55</v>
      </c>
      <c r="M57" s="200">
        <f t="shared" si="13"/>
        <v>1.55</v>
      </c>
      <c r="N57" s="201">
        <f t="shared" si="13"/>
        <v>1.55</v>
      </c>
      <c r="O57" s="202">
        <f t="shared" si="13"/>
        <v>1.55</v>
      </c>
      <c r="P57" s="199">
        <f t="shared" si="13"/>
        <v>1.55</v>
      </c>
      <c r="Q57" s="200">
        <f t="shared" si="13"/>
        <v>1.55</v>
      </c>
      <c r="R57" s="201">
        <f t="shared" si="13"/>
        <v>1.55</v>
      </c>
      <c r="S57" s="202">
        <f t="shared" si="13"/>
        <v>1.55</v>
      </c>
      <c r="T57" s="203">
        <f t="shared" si="13"/>
        <v>1.55</v>
      </c>
      <c r="U57" s="200">
        <f t="shared" si="13"/>
        <v>1.55</v>
      </c>
      <c r="V57" s="201">
        <f t="shared" si="13"/>
        <v>1.55</v>
      </c>
      <c r="W57" s="209">
        <f t="shared" si="13"/>
        <v>1.55</v>
      </c>
      <c r="X57" s="385">
        <f>SUM(D57:G57)*$B$12</f>
        <v>2715.6</v>
      </c>
      <c r="Y57" s="386">
        <f>SUM(H57:K57)*$B$12</f>
        <v>2715.6</v>
      </c>
      <c r="Z57" s="386">
        <f>SUM(L57:O57)*$B$12</f>
        <v>2715.6</v>
      </c>
      <c r="AA57" s="386">
        <f>SUM(P57:S57)*$B$12</f>
        <v>2715.6</v>
      </c>
      <c r="AB57" s="387">
        <f>SUM(T57:W57)*$B$12</f>
        <v>2715.6</v>
      </c>
      <c r="AC57" s="218">
        <f t="shared" si="9"/>
        <v>13578</v>
      </c>
    </row>
    <row r="58" spans="3:29" ht="16.5" thickTop="1" thickBot="1" x14ac:dyDescent="0.4">
      <c r="C58" s="204" t="s">
        <v>9</v>
      </c>
      <c r="D58" s="210">
        <f t="shared" ref="D58:AB58" si="14">SUM(D53:D57)</f>
        <v>7</v>
      </c>
      <c r="E58" s="211">
        <f t="shared" si="14"/>
        <v>7</v>
      </c>
      <c r="F58" s="212">
        <f t="shared" si="14"/>
        <v>7</v>
      </c>
      <c r="G58" s="213">
        <f t="shared" si="14"/>
        <v>7</v>
      </c>
      <c r="H58" s="210">
        <f t="shared" si="14"/>
        <v>7</v>
      </c>
      <c r="I58" s="211">
        <f t="shared" si="14"/>
        <v>7</v>
      </c>
      <c r="J58" s="212">
        <f t="shared" si="14"/>
        <v>7</v>
      </c>
      <c r="K58" s="213">
        <f t="shared" si="14"/>
        <v>7</v>
      </c>
      <c r="L58" s="210">
        <f t="shared" si="14"/>
        <v>7</v>
      </c>
      <c r="M58" s="211">
        <f t="shared" si="14"/>
        <v>7</v>
      </c>
      <c r="N58" s="212">
        <f t="shared" si="14"/>
        <v>7</v>
      </c>
      <c r="O58" s="213">
        <f t="shared" si="14"/>
        <v>7</v>
      </c>
      <c r="P58" s="210">
        <f t="shared" si="14"/>
        <v>7</v>
      </c>
      <c r="Q58" s="211">
        <f t="shared" si="14"/>
        <v>7</v>
      </c>
      <c r="R58" s="212">
        <f t="shared" si="14"/>
        <v>7</v>
      </c>
      <c r="S58" s="213">
        <f t="shared" si="14"/>
        <v>7</v>
      </c>
      <c r="T58" s="214">
        <f t="shared" si="14"/>
        <v>7</v>
      </c>
      <c r="U58" s="211">
        <f t="shared" si="14"/>
        <v>7</v>
      </c>
      <c r="V58" s="212">
        <f t="shared" si="14"/>
        <v>7</v>
      </c>
      <c r="W58" s="215">
        <f t="shared" si="14"/>
        <v>7</v>
      </c>
      <c r="X58" s="216">
        <f t="shared" si="14"/>
        <v>12264</v>
      </c>
      <c r="Y58" s="371">
        <f t="shared" si="14"/>
        <v>12264</v>
      </c>
      <c r="Z58" s="371">
        <f t="shared" si="14"/>
        <v>12264</v>
      </c>
      <c r="AA58" s="371">
        <f t="shared" si="14"/>
        <v>12264</v>
      </c>
      <c r="AB58" s="372">
        <f t="shared" si="14"/>
        <v>12264</v>
      </c>
      <c r="AC58" s="370">
        <f t="shared" si="9"/>
        <v>61320</v>
      </c>
    </row>
  </sheetData>
  <mergeCells count="95">
    <mergeCell ref="R4:S4"/>
    <mergeCell ref="T4:U4"/>
    <mergeCell ref="V4:W4"/>
    <mergeCell ref="N4:O4"/>
    <mergeCell ref="N16:O16"/>
    <mergeCell ref="P16:Q16"/>
    <mergeCell ref="R16:S16"/>
    <mergeCell ref="T16:U16"/>
    <mergeCell ref="V16:W16"/>
    <mergeCell ref="T3:W3"/>
    <mergeCell ref="D15:G15"/>
    <mergeCell ref="H15:K15"/>
    <mergeCell ref="L15:O15"/>
    <mergeCell ref="P15:S15"/>
    <mergeCell ref="T15:W15"/>
    <mergeCell ref="D4:E4"/>
    <mergeCell ref="F4:G4"/>
    <mergeCell ref="H4:I4"/>
    <mergeCell ref="J4:K4"/>
    <mergeCell ref="L4:M4"/>
    <mergeCell ref="D3:G3"/>
    <mergeCell ref="H3:K3"/>
    <mergeCell ref="L3:O3"/>
    <mergeCell ref="P3:S3"/>
    <mergeCell ref="P4:Q4"/>
    <mergeCell ref="D16:E16"/>
    <mergeCell ref="F16:G16"/>
    <mergeCell ref="H16:I16"/>
    <mergeCell ref="J16:K16"/>
    <mergeCell ref="L16:M16"/>
    <mergeCell ref="X15:AC15"/>
    <mergeCell ref="X33:AC33"/>
    <mergeCell ref="D24:G24"/>
    <mergeCell ref="H24:K24"/>
    <mergeCell ref="L24:O24"/>
    <mergeCell ref="P24:S24"/>
    <mergeCell ref="T24:W24"/>
    <mergeCell ref="X24:AC24"/>
    <mergeCell ref="P25:Q25"/>
    <mergeCell ref="R25:S25"/>
    <mergeCell ref="T25:U25"/>
    <mergeCell ref="V25:W25"/>
    <mergeCell ref="D25:E25"/>
    <mergeCell ref="F25:G25"/>
    <mergeCell ref="H25:I25"/>
    <mergeCell ref="J25:K25"/>
    <mergeCell ref="L25:M25"/>
    <mergeCell ref="D33:G33"/>
    <mergeCell ref="H33:K33"/>
    <mergeCell ref="L33:O33"/>
    <mergeCell ref="P33:S33"/>
    <mergeCell ref="N25:O25"/>
    <mergeCell ref="T33:W33"/>
    <mergeCell ref="P34:Q34"/>
    <mergeCell ref="R34:S34"/>
    <mergeCell ref="T34:U34"/>
    <mergeCell ref="V34:W34"/>
    <mergeCell ref="L34:M34"/>
    <mergeCell ref="D42:G42"/>
    <mergeCell ref="H42:K42"/>
    <mergeCell ref="L42:O42"/>
    <mergeCell ref="P42:S42"/>
    <mergeCell ref="N34:O34"/>
    <mergeCell ref="D34:E34"/>
    <mergeCell ref="F34:G34"/>
    <mergeCell ref="H34:I34"/>
    <mergeCell ref="J34:K34"/>
    <mergeCell ref="X42:AC42"/>
    <mergeCell ref="D43:E43"/>
    <mergeCell ref="F43:G43"/>
    <mergeCell ref="H43:I43"/>
    <mergeCell ref="J43:K43"/>
    <mergeCell ref="L43:M43"/>
    <mergeCell ref="N43:O43"/>
    <mergeCell ref="P43:Q43"/>
    <mergeCell ref="R43:S43"/>
    <mergeCell ref="T43:U43"/>
    <mergeCell ref="V43:W43"/>
    <mergeCell ref="T42:W42"/>
    <mergeCell ref="V52:W52"/>
    <mergeCell ref="X51:AC51"/>
    <mergeCell ref="D52:E52"/>
    <mergeCell ref="F52:G52"/>
    <mergeCell ref="H52:I52"/>
    <mergeCell ref="J52:K52"/>
    <mergeCell ref="L52:M52"/>
    <mergeCell ref="N52:O52"/>
    <mergeCell ref="P52:Q52"/>
    <mergeCell ref="R52:S52"/>
    <mergeCell ref="T52:U52"/>
    <mergeCell ref="D51:G51"/>
    <mergeCell ref="H51:K51"/>
    <mergeCell ref="L51:O51"/>
    <mergeCell ref="P51:S51"/>
    <mergeCell ref="T51:W51"/>
  </mergeCells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EF31B-3741-944D-BB54-259033920D1A}">
  <dimension ref="B1:Q4"/>
  <sheetViews>
    <sheetView topLeftCell="D1" zoomScale="130" zoomScaleNormal="130" workbookViewId="0">
      <selection activeCell="G4" sqref="G4"/>
    </sheetView>
  </sheetViews>
  <sheetFormatPr defaultColWidth="10.6640625" defaultRowHeight="15.5" x14ac:dyDescent="0.35"/>
  <cols>
    <col min="1" max="1" width="6" customWidth="1"/>
    <col min="2" max="2" width="7.6640625" style="345" customWidth="1"/>
    <col min="3" max="3" width="9.33203125" style="345" customWidth="1"/>
    <col min="5" max="5" width="31.1640625" customWidth="1"/>
    <col min="6" max="6" width="9" style="345" customWidth="1"/>
  </cols>
  <sheetData>
    <row r="1" spans="2:17" ht="16" thickBot="1" x14ac:dyDescent="0.4"/>
    <row r="2" spans="2:17" ht="16" thickBot="1" x14ac:dyDescent="0.4">
      <c r="F2" s="417" t="s">
        <v>51</v>
      </c>
      <c r="G2" s="418"/>
      <c r="H2" s="417" t="s">
        <v>52</v>
      </c>
      <c r="I2" s="418"/>
      <c r="J2" s="419" t="s">
        <v>53</v>
      </c>
      <c r="K2" s="416"/>
      <c r="L2" s="415" t="s">
        <v>54</v>
      </c>
      <c r="M2" s="416"/>
      <c r="N2" s="415" t="s">
        <v>55</v>
      </c>
      <c r="O2" s="416"/>
      <c r="P2" s="415" t="s">
        <v>9</v>
      </c>
      <c r="Q2" s="416"/>
    </row>
    <row r="3" spans="2:17" s="366" customFormat="1" ht="31.5" thickBot="1" x14ac:dyDescent="0.4">
      <c r="B3" s="367" t="s">
        <v>127</v>
      </c>
      <c r="C3" s="273" t="s">
        <v>128</v>
      </c>
      <c r="D3" s="273" t="s">
        <v>129</v>
      </c>
      <c r="E3" s="388" t="s">
        <v>130</v>
      </c>
      <c r="F3" s="367" t="s">
        <v>45</v>
      </c>
      <c r="G3" s="257" t="s">
        <v>131</v>
      </c>
      <c r="H3" s="367" t="s">
        <v>45</v>
      </c>
      <c r="I3" s="257" t="s">
        <v>131</v>
      </c>
      <c r="J3" s="391" t="s">
        <v>45</v>
      </c>
      <c r="K3" s="392" t="s">
        <v>131</v>
      </c>
      <c r="L3" s="391" t="s">
        <v>45</v>
      </c>
      <c r="M3" s="392" t="s">
        <v>131</v>
      </c>
      <c r="N3" s="391" t="s">
        <v>45</v>
      </c>
      <c r="O3" s="392" t="s">
        <v>131</v>
      </c>
      <c r="P3" s="391" t="s">
        <v>45</v>
      </c>
      <c r="Q3" s="392" t="s">
        <v>131</v>
      </c>
    </row>
    <row r="4" spans="2:17" s="13" customFormat="1" ht="109" thickBot="1" x14ac:dyDescent="0.4">
      <c r="B4" s="367">
        <v>4</v>
      </c>
      <c r="C4" s="273">
        <v>8</v>
      </c>
      <c r="D4" s="368" t="s">
        <v>134</v>
      </c>
      <c r="E4" s="389" t="s">
        <v>135</v>
      </c>
      <c r="F4" s="390">
        <f>'Plan Fase 2'!X58</f>
        <v>12264</v>
      </c>
      <c r="G4" s="369">
        <f>F4/'Plan Fase 1'!$B$36</f>
        <v>7</v>
      </c>
      <c r="H4" s="390">
        <f>'Plan Fase 2'!Y58</f>
        <v>12264</v>
      </c>
      <c r="I4" s="369">
        <f>H4/'Plan Fase 1'!$B$36</f>
        <v>7</v>
      </c>
      <c r="J4" s="393">
        <f>'Plan Fase 2'!Z58</f>
        <v>12264</v>
      </c>
      <c r="K4" s="369">
        <f>J4/'Plan Fase 1'!$B$36</f>
        <v>7</v>
      </c>
      <c r="L4" s="393">
        <f>'Plan Fase 2'!AA58</f>
        <v>12264</v>
      </c>
      <c r="M4" s="369">
        <f>L4/'Plan Fase 1'!$B$36</f>
        <v>7</v>
      </c>
      <c r="N4" s="393">
        <f>'Plan Fase 2'!AB58</f>
        <v>12264</v>
      </c>
      <c r="O4" s="369">
        <f>N4/'Plan Fase 1'!$B$36</f>
        <v>7</v>
      </c>
      <c r="P4" s="393">
        <f>F4+H4+J4+L4+N4</f>
        <v>61320</v>
      </c>
      <c r="Q4" s="369">
        <f>P4/'Plan Fase 1'!$B$36</f>
        <v>35</v>
      </c>
    </row>
  </sheetData>
  <mergeCells count="6">
    <mergeCell ref="P2:Q2"/>
    <mergeCell ref="F2:G2"/>
    <mergeCell ref="H2:I2"/>
    <mergeCell ref="J2:K2"/>
    <mergeCell ref="L2:M2"/>
    <mergeCell ref="N2:O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72BC2-63EF-5C48-9F2C-EDE4AEB47C52}">
  <dimension ref="B4:I13"/>
  <sheetViews>
    <sheetView zoomScale="130" zoomScaleNormal="130" workbookViewId="0">
      <selection activeCell="K26" sqref="K26"/>
    </sheetView>
  </sheetViews>
  <sheetFormatPr defaultColWidth="10.6640625" defaultRowHeight="15.5" x14ac:dyDescent="0.35"/>
  <cols>
    <col min="2" max="2" width="19" customWidth="1"/>
    <col min="3" max="3" width="11.1640625" bestFit="1" customWidth="1"/>
  </cols>
  <sheetData>
    <row r="4" spans="2:9" ht="16" thickBot="1" x14ac:dyDescent="0.4"/>
    <row r="5" spans="2:9" ht="16" thickBot="1" x14ac:dyDescent="0.4">
      <c r="B5" s="15" t="s">
        <v>15</v>
      </c>
      <c r="C5" s="88">
        <f>'Plan Fase 1'!B36</f>
        <v>1752</v>
      </c>
    </row>
    <row r="6" spans="2:9" ht="16" thickBot="1" x14ac:dyDescent="0.4"/>
    <row r="7" spans="2:9" ht="16" thickBot="1" x14ac:dyDescent="0.4">
      <c r="B7" s="16"/>
      <c r="C7" s="420" t="s">
        <v>14</v>
      </c>
      <c r="D7" s="421"/>
      <c r="E7" s="421"/>
      <c r="F7" s="421"/>
      <c r="G7" s="421"/>
      <c r="H7" s="422"/>
      <c r="I7" s="16"/>
    </row>
    <row r="8" spans="2:9" s="13" customFormat="1" x14ac:dyDescent="0.35">
      <c r="B8" s="17" t="s">
        <v>8</v>
      </c>
      <c r="C8" s="18" t="s">
        <v>2</v>
      </c>
      <c r="D8" s="19" t="s">
        <v>3</v>
      </c>
      <c r="E8" s="19" t="s">
        <v>4</v>
      </c>
      <c r="F8" s="19" t="s">
        <v>5</v>
      </c>
      <c r="G8" s="19" t="s">
        <v>6</v>
      </c>
      <c r="H8" s="20" t="s">
        <v>7</v>
      </c>
      <c r="I8" s="21" t="s">
        <v>17</v>
      </c>
    </row>
    <row r="9" spans="2:9" x14ac:dyDescent="0.35">
      <c r="B9" s="22" t="s">
        <v>12</v>
      </c>
      <c r="C9" s="23">
        <f>'Plan Fase 1'!AB71</f>
        <v>1751.9999999999998</v>
      </c>
      <c r="D9" s="24">
        <f>'Plan Fase 2'!X22</f>
        <v>876.00000000000011</v>
      </c>
      <c r="E9" s="24">
        <f>'Plan Fase 2'!Y22</f>
        <v>876.00000000000011</v>
      </c>
      <c r="F9" s="24">
        <f>'Plan Fase 2'!Z22</f>
        <v>876.00000000000011</v>
      </c>
      <c r="G9" s="24">
        <f>'Plan Fase 2'!AA22</f>
        <v>876.00000000000011</v>
      </c>
      <c r="H9" s="25">
        <f>'Plan Fase 2'!AB22</f>
        <v>876.00000000000011</v>
      </c>
      <c r="I9" s="26">
        <f>SUM(C9:H9)</f>
        <v>6132</v>
      </c>
    </row>
    <row r="10" spans="2:9" x14ac:dyDescent="0.35">
      <c r="B10" s="22" t="s">
        <v>11</v>
      </c>
      <c r="C10" s="23">
        <f>'Plan Fase 1'!AB104</f>
        <v>1751.9999999999998</v>
      </c>
      <c r="D10" s="24">
        <f>'Plan Fase 2'!X31</f>
        <v>876</v>
      </c>
      <c r="E10" s="24">
        <f>'Plan Fase 2'!Y31</f>
        <v>876</v>
      </c>
      <c r="F10" s="24">
        <f>'Plan Fase 2'!Z31</f>
        <v>876.00000000000011</v>
      </c>
      <c r="G10" s="24">
        <f>'Plan Fase 2'!AA31</f>
        <v>876.00000000000011</v>
      </c>
      <c r="H10" s="25">
        <f>'Plan Fase 2'!AB31</f>
        <v>876.00000000000011</v>
      </c>
      <c r="I10" s="26">
        <f>SUM(C10:H10)</f>
        <v>6132</v>
      </c>
    </row>
    <row r="11" spans="2:9" x14ac:dyDescent="0.35">
      <c r="B11" s="22" t="s">
        <v>68</v>
      </c>
      <c r="C11" s="23">
        <f>'Plan Fase 1'!AB133</f>
        <v>7008</v>
      </c>
      <c r="D11" s="24">
        <f>'Plan Fase 2'!X40</f>
        <v>3504</v>
      </c>
      <c r="E11" s="24">
        <f>'Plan Fase 2'!Y40</f>
        <v>3504</v>
      </c>
      <c r="F11" s="24">
        <f>'Plan Fase 2'!Z40</f>
        <v>3504.0000000000005</v>
      </c>
      <c r="G11" s="24">
        <f>'Plan Fase 2'!AA40</f>
        <v>3504.0000000000005</v>
      </c>
      <c r="H11" s="25">
        <f>'Plan Fase 2'!AB40</f>
        <v>3504.0000000000005</v>
      </c>
      <c r="I11" s="26">
        <f>SUM(C11:H11)</f>
        <v>24528</v>
      </c>
    </row>
    <row r="12" spans="2:9" ht="16" thickBot="1" x14ac:dyDescent="0.4">
      <c r="B12" s="222" t="s">
        <v>69</v>
      </c>
      <c r="C12" s="27">
        <f>'Plan Fase 1'!AB163</f>
        <v>10074</v>
      </c>
      <c r="D12" s="28">
        <f>'Plan Fase 2'!X49</f>
        <v>7008</v>
      </c>
      <c r="E12" s="28">
        <f>'Plan Fase 2'!Y49</f>
        <v>7008</v>
      </c>
      <c r="F12" s="28">
        <f>'Plan Fase 2'!Z49</f>
        <v>7008</v>
      </c>
      <c r="G12" s="28">
        <f>'Plan Fase 2'!AA49</f>
        <v>7008</v>
      </c>
      <c r="H12" s="29">
        <f>'Plan Fase 2'!AB49</f>
        <v>7008</v>
      </c>
      <c r="I12" s="223">
        <f>SUM(C12:H12)</f>
        <v>45114</v>
      </c>
    </row>
    <row r="13" spans="2:9" s="13" customFormat="1" ht="16" thickBot="1" x14ac:dyDescent="0.4">
      <c r="B13" s="237" t="s">
        <v>16</v>
      </c>
      <c r="C13" s="243">
        <f t="shared" ref="C13:H13" si="0">SUM(C9:C12)</f>
        <v>20586</v>
      </c>
      <c r="D13" s="240">
        <f t="shared" si="0"/>
        <v>12264</v>
      </c>
      <c r="E13" s="240">
        <f t="shared" si="0"/>
        <v>12264</v>
      </c>
      <c r="F13" s="240">
        <f t="shared" si="0"/>
        <v>12264</v>
      </c>
      <c r="G13" s="240">
        <f t="shared" si="0"/>
        <v>12264</v>
      </c>
      <c r="H13" s="241">
        <f t="shared" si="0"/>
        <v>12264</v>
      </c>
      <c r="I13" s="242">
        <f>SUM(C13:H13)</f>
        <v>81906</v>
      </c>
    </row>
  </sheetData>
  <mergeCells count="1">
    <mergeCell ref="C7:H7"/>
  </mergeCells>
  <phoneticPr fontId="7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1819C-077F-964F-9A30-FA0C7D0E9DFC}">
  <dimension ref="B4:I14"/>
  <sheetViews>
    <sheetView zoomScale="130" zoomScaleNormal="130" workbookViewId="0">
      <selection activeCell="G22" sqref="G22"/>
    </sheetView>
  </sheetViews>
  <sheetFormatPr defaultColWidth="10.6640625" defaultRowHeight="15.5" x14ac:dyDescent="0.35"/>
  <cols>
    <col min="2" max="2" width="19" customWidth="1"/>
    <col min="3" max="3" width="11.1640625" bestFit="1" customWidth="1"/>
  </cols>
  <sheetData>
    <row r="4" spans="2:9" ht="16" thickBot="1" x14ac:dyDescent="0.4"/>
    <row r="5" spans="2:9" ht="16" thickBot="1" x14ac:dyDescent="0.4">
      <c r="B5" s="15" t="s">
        <v>15</v>
      </c>
      <c r="C5" s="88">
        <v>1752</v>
      </c>
    </row>
    <row r="6" spans="2:9" ht="16" thickBot="1" x14ac:dyDescent="0.4"/>
    <row r="7" spans="2:9" ht="16" thickBot="1" x14ac:dyDescent="0.4">
      <c r="B7" s="16"/>
      <c r="C7" s="420" t="s">
        <v>71</v>
      </c>
      <c r="D7" s="421"/>
      <c r="E7" s="421"/>
      <c r="F7" s="421"/>
      <c r="G7" s="421"/>
      <c r="H7" s="422"/>
      <c r="I7" s="16"/>
    </row>
    <row r="8" spans="2:9" s="13" customFormat="1" x14ac:dyDescent="0.35">
      <c r="B8" s="234" t="s">
        <v>8</v>
      </c>
      <c r="C8" s="18" t="s">
        <v>2</v>
      </c>
      <c r="D8" s="19" t="s">
        <v>3</v>
      </c>
      <c r="E8" s="19" t="s">
        <v>4</v>
      </c>
      <c r="F8" s="19" t="s">
        <v>5</v>
      </c>
      <c r="G8" s="19" t="s">
        <v>6</v>
      </c>
      <c r="H8" s="20" t="s">
        <v>7</v>
      </c>
      <c r="I8" s="21" t="s">
        <v>10</v>
      </c>
    </row>
    <row r="9" spans="2:9" x14ac:dyDescent="0.35">
      <c r="B9" s="235" t="s">
        <v>12</v>
      </c>
      <c r="C9" s="230">
        <f>'Riepilogo Impegni OP'!C9/'Riepilogo Impegni OP'!$C$5</f>
        <v>0.99999999999999989</v>
      </c>
      <c r="D9" s="231">
        <f>'Riepilogo Impegni OP'!D9/'Riepilogo Impegni OP'!$C$5</f>
        <v>0.50000000000000011</v>
      </c>
      <c r="E9" s="231">
        <f>'Riepilogo Impegni OP'!E9/'Riepilogo Impegni OP'!$C$5</f>
        <v>0.50000000000000011</v>
      </c>
      <c r="F9" s="231">
        <f>'Riepilogo Impegni OP'!F9/'Riepilogo Impegni OP'!$C$5</f>
        <v>0.50000000000000011</v>
      </c>
      <c r="G9" s="231">
        <f>'Riepilogo Impegni OP'!G9/'Riepilogo Impegni OP'!$C$5</f>
        <v>0.50000000000000011</v>
      </c>
      <c r="H9" s="232">
        <f>'Riepilogo Impegni OP'!H9/'Riepilogo Impegni OP'!$C$5</f>
        <v>0.50000000000000011</v>
      </c>
      <c r="I9" s="224">
        <f>SUM(C9:H9)</f>
        <v>3.5</v>
      </c>
    </row>
    <row r="10" spans="2:9" x14ac:dyDescent="0.35">
      <c r="B10" s="235" t="s">
        <v>11</v>
      </c>
      <c r="C10" s="230">
        <f>'Riepilogo Impegni OP'!C10/'Riepilogo Impegni OP'!$C$5</f>
        <v>0.99999999999999989</v>
      </c>
      <c r="D10" s="231">
        <f>'Riepilogo Impegni OP'!D10/'Riepilogo Impegni OP'!$C$5</f>
        <v>0.5</v>
      </c>
      <c r="E10" s="231">
        <f>'Riepilogo Impegni OP'!E10/'Riepilogo Impegni OP'!$C$5</f>
        <v>0.5</v>
      </c>
      <c r="F10" s="231">
        <f>'Riepilogo Impegni OP'!F10/'Riepilogo Impegni OP'!$C$5</f>
        <v>0.50000000000000011</v>
      </c>
      <c r="G10" s="231">
        <f>'Riepilogo Impegni OP'!G10/'Riepilogo Impegni OP'!$C$5</f>
        <v>0.50000000000000011</v>
      </c>
      <c r="H10" s="232">
        <f>'Riepilogo Impegni OP'!H10/'Riepilogo Impegni OP'!$C$5</f>
        <v>0.50000000000000011</v>
      </c>
      <c r="I10" s="224">
        <f>SUM(C10:H10)</f>
        <v>3.5</v>
      </c>
    </row>
    <row r="11" spans="2:9" x14ac:dyDescent="0.35">
      <c r="B11" s="235" t="s">
        <v>68</v>
      </c>
      <c r="C11" s="230">
        <f>'Riepilogo Impegni OP'!C11/'Riepilogo Impegni OP'!$C$5</f>
        <v>4</v>
      </c>
      <c r="D11" s="231">
        <f>'Riepilogo Impegni OP'!D11/'Riepilogo Impegni OP'!$C$5</f>
        <v>2</v>
      </c>
      <c r="E11" s="231">
        <f>'Riepilogo Impegni OP'!E11/'Riepilogo Impegni OP'!$C$5</f>
        <v>2</v>
      </c>
      <c r="F11" s="231">
        <f>'Riepilogo Impegni OP'!F11/'Riepilogo Impegni OP'!$C$5</f>
        <v>2.0000000000000004</v>
      </c>
      <c r="G11" s="231">
        <f>'Riepilogo Impegni OP'!G11/'Riepilogo Impegni OP'!$C$5</f>
        <v>2.0000000000000004</v>
      </c>
      <c r="H11" s="232">
        <f>'Riepilogo Impegni OP'!H11/'Riepilogo Impegni OP'!$C$5</f>
        <v>2.0000000000000004</v>
      </c>
      <c r="I11" s="224">
        <f>SUM(C11:H11)</f>
        <v>14</v>
      </c>
    </row>
    <row r="12" spans="2:9" ht="16" thickBot="1" x14ac:dyDescent="0.4">
      <c r="B12" s="236" t="s">
        <v>69</v>
      </c>
      <c r="C12" s="230">
        <f>'Riepilogo Impegni OP'!C12/'Riepilogo Impegni OP'!$C$5</f>
        <v>5.75</v>
      </c>
      <c r="D12" s="231">
        <f>'Riepilogo Impegni OP'!D12/'Riepilogo Impegni OP'!$C$5</f>
        <v>4</v>
      </c>
      <c r="E12" s="231">
        <f>'Riepilogo Impegni OP'!E12/'Riepilogo Impegni OP'!$C$5</f>
        <v>4</v>
      </c>
      <c r="F12" s="231">
        <f>'Riepilogo Impegni OP'!F12/'Riepilogo Impegni OP'!$C$5</f>
        <v>4</v>
      </c>
      <c r="G12" s="231">
        <f>'Riepilogo Impegni OP'!G12/'Riepilogo Impegni OP'!$C$5</f>
        <v>4</v>
      </c>
      <c r="H12" s="232">
        <f>'Riepilogo Impegni OP'!H12/'Riepilogo Impegni OP'!$C$5</f>
        <v>4</v>
      </c>
      <c r="I12" s="226">
        <f>SUM(C12:H12)</f>
        <v>25.75</v>
      </c>
    </row>
    <row r="13" spans="2:9" s="13" customFormat="1" ht="16" thickBot="1" x14ac:dyDescent="0.4">
      <c r="B13" s="237" t="s">
        <v>13</v>
      </c>
      <c r="C13" s="233">
        <f t="shared" ref="C13:H13" si="0">SUM(C9:C12)</f>
        <v>11.75</v>
      </c>
      <c r="D13" s="238">
        <f t="shared" si="0"/>
        <v>7</v>
      </c>
      <c r="E13" s="238">
        <f t="shared" si="0"/>
        <v>7</v>
      </c>
      <c r="F13" s="238">
        <f t="shared" si="0"/>
        <v>7.0000000000000009</v>
      </c>
      <c r="G13" s="238">
        <f t="shared" si="0"/>
        <v>7.0000000000000009</v>
      </c>
      <c r="H13" s="227">
        <f t="shared" si="0"/>
        <v>7.0000000000000009</v>
      </c>
      <c r="I13" s="239">
        <f>SUM(C13:H13)</f>
        <v>46.75</v>
      </c>
    </row>
    <row r="14" spans="2:9" ht="16" thickBot="1" x14ac:dyDescent="0.4">
      <c r="B14" s="225" t="s">
        <v>70</v>
      </c>
      <c r="C14" s="14">
        <v>12</v>
      </c>
      <c r="D14" s="228">
        <v>8</v>
      </c>
      <c r="E14" s="228">
        <v>8</v>
      </c>
      <c r="F14" s="228">
        <v>8</v>
      </c>
      <c r="G14" s="228">
        <v>8</v>
      </c>
      <c r="H14" s="229">
        <v>8</v>
      </c>
    </row>
  </sheetData>
  <mergeCells count="1">
    <mergeCell ref="C7:H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04409-3BE4-EC4B-A669-821DA9306DB7}">
  <dimension ref="B1:G16"/>
  <sheetViews>
    <sheetView zoomScale="170" zoomScaleNormal="170" workbookViewId="0">
      <selection activeCell="C12" sqref="C12"/>
    </sheetView>
  </sheetViews>
  <sheetFormatPr defaultColWidth="10.6640625" defaultRowHeight="15.5" x14ac:dyDescent="0.35"/>
  <cols>
    <col min="2" max="2" width="41.33203125" customWidth="1"/>
    <col min="3" max="3" width="13" bestFit="1" customWidth="1"/>
    <col min="4" max="6" width="12" bestFit="1" customWidth="1"/>
  </cols>
  <sheetData>
    <row r="1" spans="2:7" ht="16" thickBot="1" x14ac:dyDescent="0.4"/>
    <row r="2" spans="2:7" s="245" customFormat="1" ht="16" thickBot="1" x14ac:dyDescent="0.4">
      <c r="B2" s="262" t="s">
        <v>76</v>
      </c>
      <c r="C2" s="258" t="s">
        <v>12</v>
      </c>
      <c r="D2" s="257" t="s">
        <v>11</v>
      </c>
      <c r="E2" s="257" t="s">
        <v>68</v>
      </c>
      <c r="F2" s="257" t="s">
        <v>69</v>
      </c>
    </row>
    <row r="3" spans="2:7" x14ac:dyDescent="0.35">
      <c r="B3" s="263" t="s">
        <v>72</v>
      </c>
      <c r="C3" s="259">
        <f>(2493.21+1000)*13</f>
        <v>45411.73</v>
      </c>
      <c r="D3" s="256">
        <f>(2434.88+500)*13</f>
        <v>38153.440000000002</v>
      </c>
      <c r="E3" s="256">
        <f>(2181+200)*13</f>
        <v>30953</v>
      </c>
      <c r="F3" s="256">
        <f>2032.93*13</f>
        <v>26428.09</v>
      </c>
    </row>
    <row r="4" spans="2:7" x14ac:dyDescent="0.35">
      <c r="B4" s="264" t="s">
        <v>73</v>
      </c>
      <c r="C4" s="260">
        <f>C3/13.5</f>
        <v>3363.8318518518522</v>
      </c>
      <c r="D4" s="249">
        <f>D3/13.5</f>
        <v>2826.1807407407409</v>
      </c>
      <c r="E4" s="249">
        <f>E3/13.5</f>
        <v>2292.8148148148148</v>
      </c>
      <c r="F4" s="249">
        <f>F3/13.5</f>
        <v>1957.6362962962962</v>
      </c>
    </row>
    <row r="5" spans="2:7" x14ac:dyDescent="0.35">
      <c r="B5" s="264" t="s">
        <v>74</v>
      </c>
      <c r="C5" s="260">
        <f>C3*0.36*2/3</f>
        <v>10898.815200000001</v>
      </c>
      <c r="D5" s="249">
        <f>D3*0.36*2/3</f>
        <v>9156.8256000000001</v>
      </c>
      <c r="E5" s="249">
        <f>E3*0.36*2/3</f>
        <v>7428.72</v>
      </c>
      <c r="F5" s="249">
        <f>F3*0.36*2/3</f>
        <v>6342.7416000000003</v>
      </c>
    </row>
    <row r="6" spans="2:7" ht="16" thickBot="1" x14ac:dyDescent="0.4">
      <c r="B6" s="265" t="s">
        <v>75</v>
      </c>
      <c r="C6" s="261">
        <f>C3+C4+C5</f>
        <v>59674.377051851858</v>
      </c>
      <c r="D6" s="255">
        <f>D3+D4+D5</f>
        <v>50136.446340740746</v>
      </c>
      <c r="E6" s="255">
        <f>E3+E4+E5</f>
        <v>40674.534814814819</v>
      </c>
      <c r="F6" s="255">
        <f>F3+F4+F5</f>
        <v>34728.467896296293</v>
      </c>
    </row>
    <row r="7" spans="2:7" ht="16" thickBot="1" x14ac:dyDescent="0.4">
      <c r="B7" s="244"/>
      <c r="C7" s="251"/>
      <c r="D7" s="248"/>
      <c r="E7" s="248"/>
    </row>
    <row r="8" spans="2:7" ht="16" thickBot="1" x14ac:dyDescent="0.4">
      <c r="B8" s="15" t="s">
        <v>87</v>
      </c>
      <c r="C8" s="278">
        <v>0.2</v>
      </c>
      <c r="D8" s="251" t="s">
        <v>81</v>
      </c>
      <c r="E8" s="248"/>
    </row>
    <row r="9" spans="2:7" ht="16" thickBot="1" x14ac:dyDescent="0.4">
      <c r="B9" s="244"/>
      <c r="C9" s="251"/>
      <c r="D9" s="248"/>
      <c r="E9" s="248"/>
    </row>
    <row r="10" spans="2:7" s="245" customFormat="1" ht="16" thickBot="1" x14ac:dyDescent="0.4">
      <c r="B10" s="262" t="s">
        <v>82</v>
      </c>
      <c r="C10" s="272" t="s">
        <v>12</v>
      </c>
      <c r="D10" s="273" t="s">
        <v>11</v>
      </c>
      <c r="E10" s="273" t="s">
        <v>68</v>
      </c>
      <c r="F10" s="257" t="s">
        <v>69</v>
      </c>
    </row>
    <row r="11" spans="2:7" ht="16" thickBot="1" x14ac:dyDescent="0.4">
      <c r="B11" s="274" t="s">
        <v>83</v>
      </c>
      <c r="C11" s="279">
        <f>20*12+2*500</f>
        <v>1240</v>
      </c>
      <c r="D11" s="280">
        <f>20*12+2*1000</f>
        <v>2240</v>
      </c>
      <c r="E11" s="280">
        <f>20*12+2*1200</f>
        <v>2640</v>
      </c>
      <c r="F11" s="281">
        <f>20*12+2*1200</f>
        <v>2640</v>
      </c>
      <c r="G11" s="244" t="s">
        <v>107</v>
      </c>
    </row>
    <row r="12" spans="2:7" ht="16" thickBot="1" x14ac:dyDescent="0.4"/>
    <row r="13" spans="2:7" ht="16" thickBot="1" x14ac:dyDescent="0.4">
      <c r="B13" s="15" t="s">
        <v>139</v>
      </c>
      <c r="C13" s="278">
        <v>0.12</v>
      </c>
      <c r="D13" s="251" t="s">
        <v>88</v>
      </c>
      <c r="E13" s="248"/>
    </row>
    <row r="14" spans="2:7" ht="16" thickBot="1" x14ac:dyDescent="0.4"/>
    <row r="15" spans="2:7" x14ac:dyDescent="0.35">
      <c r="B15" s="329" t="s">
        <v>120</v>
      </c>
      <c r="C15" s="341">
        <v>0.24</v>
      </c>
    </row>
    <row r="16" spans="2:7" ht="16" thickBot="1" x14ac:dyDescent="0.4">
      <c r="B16" s="253" t="s">
        <v>121</v>
      </c>
      <c r="C16" s="339">
        <v>4.82E-2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17F17-9878-8F4B-9F64-FABC11FA01C4}">
  <dimension ref="B2:D13"/>
  <sheetViews>
    <sheetView zoomScale="180" zoomScaleNormal="180" workbookViewId="0">
      <selection activeCell="C13" sqref="C13"/>
    </sheetView>
  </sheetViews>
  <sheetFormatPr defaultColWidth="10.6640625" defaultRowHeight="15.5" x14ac:dyDescent="0.35"/>
  <cols>
    <col min="2" max="2" width="27.5" customWidth="1"/>
    <col min="3" max="3" width="13" bestFit="1" customWidth="1"/>
    <col min="4" max="4" width="13.1640625" customWidth="1"/>
  </cols>
  <sheetData>
    <row r="2" spans="2:4" ht="16" thickBot="1" x14ac:dyDescent="0.4"/>
    <row r="3" spans="2:4" ht="16" thickBot="1" x14ac:dyDescent="0.4">
      <c r="B3" s="15" t="s">
        <v>85</v>
      </c>
      <c r="C3" s="283" t="s">
        <v>78</v>
      </c>
    </row>
    <row r="4" spans="2:4" x14ac:dyDescent="0.35">
      <c r="B4" s="282" t="s">
        <v>112</v>
      </c>
      <c r="C4" s="271">
        <f>'Riepilogo Impegni AP'!C9*'Costi Base'!C6+'Riepilogo Impegni AP'!C10*'Costi Base'!D6+'Riepilogo Impegni AP'!C11*'Costi Base'!E6+'Riepilogo Impegni AP'!C12*'Costi Base'!F6</f>
        <v>472197.65305555554</v>
      </c>
    </row>
    <row r="5" spans="2:4" x14ac:dyDescent="0.35">
      <c r="B5" s="246" t="s">
        <v>79</v>
      </c>
      <c r="C5" s="249">
        <f>'Costi Base'!C8*'Costi Anno 0'!C4</f>
        <v>94439.530611111113</v>
      </c>
    </row>
    <row r="6" spans="2:4" x14ac:dyDescent="0.35">
      <c r="B6" s="246" t="s">
        <v>113</v>
      </c>
      <c r="C6" s="249">
        <f>'Riepilogo Impegni AP'!C9*'Costi Base'!C11+'Riepilogo Impegni AP'!C10*'Costi Base'!D11+'Riepilogo Impegni AP'!C11*'Costi Base'!E11+'Riepilogo Impegni AP'!C12*'Costi Base'!F11</f>
        <v>29220</v>
      </c>
    </row>
    <row r="7" spans="2:4" x14ac:dyDescent="0.35">
      <c r="B7" s="246" t="s">
        <v>84</v>
      </c>
      <c r="C7" s="268">
        <v>20000</v>
      </c>
      <c r="D7" s="267"/>
    </row>
    <row r="8" spans="2:4" x14ac:dyDescent="0.35">
      <c r="B8" s="247" t="s">
        <v>114</v>
      </c>
      <c r="C8" s="250">
        <f>SUM(C4:C7)</f>
        <v>615857.18366666662</v>
      </c>
    </row>
    <row r="9" spans="2:4" x14ac:dyDescent="0.35">
      <c r="B9" s="247" t="s">
        <v>116</v>
      </c>
      <c r="C9" s="250">
        <f>'Costi Base'!C13*C8</f>
        <v>73902.862039999993</v>
      </c>
      <c r="D9" s="277" t="s">
        <v>110</v>
      </c>
    </row>
    <row r="10" spans="2:4" x14ac:dyDescent="0.35">
      <c r="B10" s="247" t="s">
        <v>115</v>
      </c>
      <c r="C10" s="250">
        <f>C8+C9</f>
        <v>689760.04570666666</v>
      </c>
    </row>
    <row r="11" spans="2:4" x14ac:dyDescent="0.35">
      <c r="B11" s="247" t="s">
        <v>117</v>
      </c>
      <c r="C11" s="250">
        <f>'Costi Base'!C$13*C10</f>
        <v>82771.205484799997</v>
      </c>
      <c r="D11" s="277" t="s">
        <v>119</v>
      </c>
    </row>
    <row r="12" spans="2:4" ht="16" thickBot="1" x14ac:dyDescent="0.4">
      <c r="B12" s="254" t="s">
        <v>118</v>
      </c>
      <c r="C12" s="255">
        <f>C10/5</f>
        <v>137952.00914133334</v>
      </c>
      <c r="D12" s="277" t="s">
        <v>111</v>
      </c>
    </row>
    <row r="13" spans="2:4" x14ac:dyDescent="0.35">
      <c r="C13" s="26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28E64-6178-B043-BC23-9983DBF9632E}">
  <dimension ref="B2:K32"/>
  <sheetViews>
    <sheetView zoomScale="160" zoomScaleNormal="160" workbookViewId="0">
      <selection activeCell="C7" sqref="C7"/>
    </sheetView>
  </sheetViews>
  <sheetFormatPr defaultColWidth="10.6640625" defaultRowHeight="15.5" x14ac:dyDescent="0.35"/>
  <cols>
    <col min="2" max="2" width="25" customWidth="1"/>
    <col min="3" max="7" width="13.1640625" bestFit="1" customWidth="1"/>
    <col min="8" max="8" width="15.5" customWidth="1"/>
  </cols>
  <sheetData>
    <row r="2" spans="2:8" ht="16" thickBot="1" x14ac:dyDescent="0.4"/>
    <row r="3" spans="2:8" ht="16" thickBot="1" x14ac:dyDescent="0.4">
      <c r="B3" s="275" t="s">
        <v>89</v>
      </c>
      <c r="C3" s="287" t="s">
        <v>3</v>
      </c>
      <c r="D3" s="287" t="s">
        <v>4</v>
      </c>
      <c r="E3" s="287" t="s">
        <v>5</v>
      </c>
      <c r="F3" s="287" t="s">
        <v>6</v>
      </c>
      <c r="G3" s="287" t="s">
        <v>7</v>
      </c>
      <c r="H3" s="287" t="s">
        <v>9</v>
      </c>
    </row>
    <row r="4" spans="2:8" x14ac:dyDescent="0.35">
      <c r="B4" s="270" t="s">
        <v>80</v>
      </c>
      <c r="C4" s="320">
        <f>'Riepilogo Impegni AP'!D9*'Costi Base'!$C6+'Riepilogo Impegni AP'!D10*'Costi Base'!$D6+'Riepilogo Impegni AP'!D11*'Costi Base'!$E6+'Riepilogo Impegni AP'!D12*'Costi Base'!$F6</f>
        <v>275168.35291111108</v>
      </c>
      <c r="D4" s="320">
        <f>'Riepilogo Impegni AP'!E9*'Costi Base'!$C6+'Riepilogo Impegni AP'!E10*'Costi Base'!$D6+'Riepilogo Impegni AP'!E11*'Costi Base'!$E6+'Riepilogo Impegni AP'!E12*'Costi Base'!$F6</f>
        <v>275168.35291111108</v>
      </c>
      <c r="E4" s="320">
        <f>'Riepilogo Impegni AP'!F9*'Costi Base'!$C6+'Riepilogo Impegni AP'!F10*'Costi Base'!$D6+'Riepilogo Impegni AP'!F11*'Costi Base'!$E6+'Riepilogo Impegni AP'!F12*'Costi Base'!$F6</f>
        <v>275168.35291111114</v>
      </c>
      <c r="F4" s="320">
        <f>'Riepilogo Impegni AP'!G9*'Costi Base'!$C6+'Riepilogo Impegni AP'!G10*'Costi Base'!$D6+'Riepilogo Impegni AP'!G11*'Costi Base'!$E6+'Riepilogo Impegni AP'!G12*'Costi Base'!$F6</f>
        <v>275168.35291111114</v>
      </c>
      <c r="G4" s="320">
        <f>'Riepilogo Impegni AP'!H9*'Costi Base'!$C6+'Riepilogo Impegni AP'!H10*'Costi Base'!$D6+'Riepilogo Impegni AP'!H11*'Costi Base'!$E6+'Riepilogo Impegni AP'!H12*'Costi Base'!$F6</f>
        <v>275168.35291111114</v>
      </c>
      <c r="H4" s="288">
        <f>SUM(C4:G4)</f>
        <v>1375841.7645555558</v>
      </c>
    </row>
    <row r="5" spans="2:8" x14ac:dyDescent="0.35">
      <c r="B5" s="264" t="s">
        <v>79</v>
      </c>
      <c r="C5" s="321">
        <f>'Costi Base'!$C8*'Costi Anni 1-5'!C4</f>
        <v>55033.670582222221</v>
      </c>
      <c r="D5" s="321">
        <f>'Costi Base'!$C8*'Costi Anni 1-5'!D4</f>
        <v>55033.670582222221</v>
      </c>
      <c r="E5" s="321">
        <f>'Costi Base'!$C8*'Costi Anni 1-5'!E4</f>
        <v>55033.670582222228</v>
      </c>
      <c r="F5" s="321">
        <f>'Costi Base'!$C8*'Costi Anni 1-5'!F4</f>
        <v>55033.670582222228</v>
      </c>
      <c r="G5" s="321">
        <f>'Costi Base'!$C8*'Costi Anni 1-5'!G4</f>
        <v>55033.670582222228</v>
      </c>
      <c r="H5" s="289">
        <f t="shared" ref="H5:H7" si="0">SUM(C5:G5)</f>
        <v>275168.35291111114</v>
      </c>
    </row>
    <row r="6" spans="2:8" x14ac:dyDescent="0.35">
      <c r="B6" s="264" t="s">
        <v>97</v>
      </c>
      <c r="C6" s="321">
        <f>'Riepilogo Impegni AP'!D9*'Costi Base'!$C11+'Riepilogo Impegni AP'!D10*'Costi Base'!$D11+'Riepilogo Impegni AP'!D11*'Costi Base'!$E11+'Riepilogo Impegni AP'!D12*'Costi Base'!$F11</f>
        <v>17580</v>
      </c>
      <c r="D6" s="321">
        <f>'Riepilogo Impegni AP'!E9*'Costi Base'!$C11+'Riepilogo Impegni AP'!E10*'Costi Base'!$D11+'Riepilogo Impegni AP'!E11*'Costi Base'!$E11+'Riepilogo Impegni AP'!E12*'Costi Base'!$F11</f>
        <v>17580</v>
      </c>
      <c r="E6" s="321">
        <f>'Riepilogo Impegni AP'!F9*'Costi Base'!$C11+'Riepilogo Impegni AP'!F10*'Costi Base'!$D11+'Riepilogo Impegni AP'!F11*'Costi Base'!$E11+'Riepilogo Impegni AP'!F12*'Costi Base'!$F11</f>
        <v>17580</v>
      </c>
      <c r="F6" s="321">
        <f>'Riepilogo Impegni AP'!G9*'Costi Base'!$C11+'Riepilogo Impegni AP'!G10*'Costi Base'!$D11+'Riepilogo Impegni AP'!G11*'Costi Base'!$E11+'Riepilogo Impegni AP'!G12*'Costi Base'!$F11</f>
        <v>17580</v>
      </c>
      <c r="G6" s="321">
        <f>'Riepilogo Impegni AP'!H9*'Costi Base'!$C11+'Riepilogo Impegni AP'!H10*'Costi Base'!$D11+'Riepilogo Impegni AP'!H11*'Costi Base'!$E11+'Riepilogo Impegni AP'!H12*'Costi Base'!$F11</f>
        <v>17580</v>
      </c>
      <c r="H6" s="289">
        <f t="shared" si="0"/>
        <v>87900</v>
      </c>
    </row>
    <row r="7" spans="2:8" x14ac:dyDescent="0.35">
      <c r="B7" s="296" t="s">
        <v>77</v>
      </c>
      <c r="C7" s="322">
        <v>15000</v>
      </c>
      <c r="D7" s="322">
        <v>12000</v>
      </c>
      <c r="E7" s="322">
        <v>12000</v>
      </c>
      <c r="F7" s="322">
        <v>10000</v>
      </c>
      <c r="G7" s="322">
        <v>10000</v>
      </c>
      <c r="H7" s="300">
        <f t="shared" si="0"/>
        <v>59000</v>
      </c>
    </row>
    <row r="8" spans="2:8" ht="16" thickBot="1" x14ac:dyDescent="0.4">
      <c r="B8" s="296" t="s">
        <v>98</v>
      </c>
      <c r="C8" s="322">
        <f>'Costi Anno 0'!$C12</f>
        <v>137952.00914133334</v>
      </c>
      <c r="D8" s="322">
        <f>'Costi Anno 0'!$C12</f>
        <v>137952.00914133334</v>
      </c>
      <c r="E8" s="322">
        <f>'Costi Anno 0'!$C12</f>
        <v>137952.00914133334</v>
      </c>
      <c r="F8" s="322">
        <f>'Costi Anno 0'!$C12</f>
        <v>137952.00914133334</v>
      </c>
      <c r="G8" s="322">
        <f>'Costi Anno 0'!$C12</f>
        <v>137952.00914133334</v>
      </c>
      <c r="H8" s="290">
        <f t="shared" ref="H8" si="1">SUM(C8:G8)</f>
        <v>689760.04570666677</v>
      </c>
    </row>
    <row r="9" spans="2:8" ht="16" thickBot="1" x14ac:dyDescent="0.4">
      <c r="B9" s="318" t="s">
        <v>86</v>
      </c>
      <c r="C9" s="319">
        <f>SUM(C4:C8)</f>
        <v>500734.03263466666</v>
      </c>
      <c r="D9" s="319">
        <f t="shared" ref="D9:G9" si="2">SUM(D4:D8)</f>
        <v>497734.03263466666</v>
      </c>
      <c r="E9" s="319">
        <f t="shared" si="2"/>
        <v>497734.03263466671</v>
      </c>
      <c r="F9" s="319">
        <f t="shared" si="2"/>
        <v>495734.03263466671</v>
      </c>
      <c r="G9" s="319">
        <f t="shared" si="2"/>
        <v>495734.03263466671</v>
      </c>
      <c r="H9" s="319">
        <f>SUM(H4:H8)</f>
        <v>2487670.1631733337</v>
      </c>
    </row>
    <row r="10" spans="2:8" ht="16" thickBot="1" x14ac:dyDescent="0.4">
      <c r="B10" s="318"/>
      <c r="C10" s="287" t="s">
        <v>3</v>
      </c>
      <c r="D10" s="287" t="s">
        <v>4</v>
      </c>
      <c r="E10" s="287" t="s">
        <v>5</v>
      </c>
      <c r="F10" s="287" t="s">
        <v>6</v>
      </c>
      <c r="G10" s="287" t="s">
        <v>7</v>
      </c>
      <c r="H10" s="287" t="s">
        <v>9</v>
      </c>
    </row>
    <row r="11" spans="2:8" s="1" customFormat="1" ht="16" thickBot="1" x14ac:dyDescent="0.4">
      <c r="B11" s="275" t="s">
        <v>99</v>
      </c>
      <c r="C11" s="291">
        <f>'Costi Anno 0'!C11</f>
        <v>82771.205484799997</v>
      </c>
      <c r="D11" s="291">
        <f>C11-$C13</f>
        <v>66216.964387839995</v>
      </c>
      <c r="E11" s="291">
        <f t="shared" ref="E11:G11" si="3">D11-$C13</f>
        <v>49662.723290879992</v>
      </c>
      <c r="F11" s="291">
        <f t="shared" si="3"/>
        <v>33108.48219391999</v>
      </c>
      <c r="G11" s="291">
        <f t="shared" si="3"/>
        <v>16554.241096959988</v>
      </c>
      <c r="H11" s="291">
        <f>SUM(C11:G11)</f>
        <v>248313.61645439995</v>
      </c>
    </row>
    <row r="12" spans="2:8" ht="16" thickBot="1" x14ac:dyDescent="0.4"/>
    <row r="13" spans="2:8" ht="16" thickBot="1" x14ac:dyDescent="0.4">
      <c r="B13" s="15" t="s">
        <v>109</v>
      </c>
      <c r="C13" s="276">
        <f>'Costi Base'!C13*'Costi Anno 0'!$C12</f>
        <v>16554.241096960002</v>
      </c>
    </row>
    <row r="32" spans="11:11" x14ac:dyDescent="0.35">
      <c r="K32" t="s">
        <v>42</v>
      </c>
    </row>
  </sheetData>
  <phoneticPr fontId="7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54326-288A-F745-98A2-2263F23202FF}">
  <dimension ref="B2:H12"/>
  <sheetViews>
    <sheetView zoomScale="150" zoomScaleNormal="150" workbookViewId="0">
      <selection activeCell="C8" sqref="C8"/>
    </sheetView>
  </sheetViews>
  <sheetFormatPr defaultColWidth="10.6640625" defaultRowHeight="15.5" x14ac:dyDescent="0.35"/>
  <cols>
    <col min="2" max="2" width="21.83203125" customWidth="1"/>
    <col min="3" max="3" width="13" bestFit="1" customWidth="1"/>
    <col min="4" max="8" width="14.5" bestFit="1" customWidth="1"/>
  </cols>
  <sheetData>
    <row r="2" spans="2:8" ht="16" thickBot="1" x14ac:dyDescent="0.4"/>
    <row r="3" spans="2:8" ht="16" thickBot="1" x14ac:dyDescent="0.4">
      <c r="B3" s="275" t="s">
        <v>90</v>
      </c>
      <c r="C3" s="292" t="s">
        <v>3</v>
      </c>
      <c r="D3" s="283" t="s">
        <v>4</v>
      </c>
      <c r="E3" s="283" t="s">
        <v>5</v>
      </c>
      <c r="F3" s="283" t="s">
        <v>6</v>
      </c>
      <c r="G3" s="284" t="s">
        <v>7</v>
      </c>
      <c r="H3" s="287" t="s">
        <v>9</v>
      </c>
    </row>
    <row r="4" spans="2:8" x14ac:dyDescent="0.35">
      <c r="B4" s="270" t="s">
        <v>91</v>
      </c>
      <c r="C4" s="394">
        <v>30000</v>
      </c>
      <c r="D4" s="395">
        <v>30000</v>
      </c>
      <c r="E4" s="395">
        <v>30000</v>
      </c>
      <c r="F4" s="395">
        <v>30000</v>
      </c>
      <c r="G4" s="396">
        <v>30000</v>
      </c>
      <c r="H4" s="288"/>
    </row>
    <row r="5" spans="2:8" x14ac:dyDescent="0.35">
      <c r="B5" s="305" t="s">
        <v>108</v>
      </c>
      <c r="C5" s="306">
        <v>10</v>
      </c>
      <c r="D5" s="307">
        <v>15</v>
      </c>
      <c r="E5" s="307">
        <v>20</v>
      </c>
      <c r="F5" s="307">
        <v>25</v>
      </c>
      <c r="G5" s="308">
        <v>40</v>
      </c>
      <c r="H5" s="309">
        <f t="shared" ref="H5:H9" si="0">SUM(C5:G5)</f>
        <v>110</v>
      </c>
    </row>
    <row r="6" spans="2:8" x14ac:dyDescent="0.35">
      <c r="B6" s="264" t="s">
        <v>92</v>
      </c>
      <c r="C6" s="260">
        <f>C4*C5</f>
        <v>300000</v>
      </c>
      <c r="D6" s="249">
        <f t="shared" ref="D6:G6" si="1">D4*D5</f>
        <v>450000</v>
      </c>
      <c r="E6" s="249">
        <f t="shared" si="1"/>
        <v>600000</v>
      </c>
      <c r="F6" s="249">
        <f t="shared" si="1"/>
        <v>750000</v>
      </c>
      <c r="G6" s="285">
        <f t="shared" si="1"/>
        <v>1200000</v>
      </c>
      <c r="H6" s="289">
        <f t="shared" si="0"/>
        <v>3300000</v>
      </c>
    </row>
    <row r="7" spans="2:8" ht="16" thickBot="1" x14ac:dyDescent="0.4">
      <c r="B7" s="296" t="s">
        <v>137</v>
      </c>
      <c r="C7" s="323">
        <v>5000</v>
      </c>
      <c r="D7" s="324">
        <v>4000</v>
      </c>
      <c r="E7" s="324">
        <v>3000</v>
      </c>
      <c r="F7" s="324">
        <v>3000</v>
      </c>
      <c r="G7" s="325">
        <v>3000</v>
      </c>
      <c r="H7" s="290"/>
    </row>
    <row r="8" spans="2:8" ht="16" thickBot="1" x14ac:dyDescent="0.4">
      <c r="B8" s="310" t="s">
        <v>93</v>
      </c>
      <c r="C8" s="311">
        <f>C5*2</f>
        <v>20</v>
      </c>
      <c r="D8" s="312">
        <f>D5*3</f>
        <v>45</v>
      </c>
      <c r="E8" s="312">
        <v>50</v>
      </c>
      <c r="F8" s="312">
        <v>70</v>
      </c>
      <c r="G8" s="313">
        <v>100</v>
      </c>
      <c r="H8" s="314">
        <f t="shared" ref="H8" si="2">SUM(C8:G8)</f>
        <v>285</v>
      </c>
    </row>
    <row r="9" spans="2:8" ht="16" thickBot="1" x14ac:dyDescent="0.4">
      <c r="B9" s="296" t="s">
        <v>94</v>
      </c>
      <c r="C9" s="294">
        <f>C7*C8</f>
        <v>100000</v>
      </c>
      <c r="D9" s="269">
        <f t="shared" ref="D9:G9" si="3">D7*D8</f>
        <v>180000</v>
      </c>
      <c r="E9" s="269">
        <f t="shared" si="3"/>
        <v>150000</v>
      </c>
      <c r="F9" s="269">
        <f t="shared" si="3"/>
        <v>210000</v>
      </c>
      <c r="G9" s="286">
        <f t="shared" si="3"/>
        <v>300000</v>
      </c>
      <c r="H9" s="290">
        <f t="shared" si="0"/>
        <v>940000</v>
      </c>
    </row>
    <row r="10" spans="2:8" ht="16" thickBot="1" x14ac:dyDescent="0.4">
      <c r="B10" s="275" t="s">
        <v>105</v>
      </c>
      <c r="C10" s="295">
        <f>C6+C9</f>
        <v>400000</v>
      </c>
      <c r="D10" s="295">
        <f t="shared" ref="D10:G10" si="4">D6+D9</f>
        <v>630000</v>
      </c>
      <c r="E10" s="295">
        <f t="shared" si="4"/>
        <v>750000</v>
      </c>
      <c r="F10" s="295">
        <f t="shared" si="4"/>
        <v>960000</v>
      </c>
      <c r="G10" s="295">
        <f t="shared" si="4"/>
        <v>1500000</v>
      </c>
      <c r="H10" s="291">
        <f>H6+H9</f>
        <v>4240000</v>
      </c>
    </row>
    <row r="12" spans="2:8" x14ac:dyDescent="0.35">
      <c r="G12" s="26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07C52-96F8-BA41-9DC9-2264FE104CAD}">
  <dimension ref="B1:J43"/>
  <sheetViews>
    <sheetView topLeftCell="A20" zoomScale="130" zoomScaleNormal="130" workbookViewId="0">
      <selection activeCell="D53" sqref="D53:D63"/>
    </sheetView>
  </sheetViews>
  <sheetFormatPr defaultColWidth="10.6640625" defaultRowHeight="15.5" x14ac:dyDescent="0.35"/>
  <cols>
    <col min="2" max="2" width="26.83203125" customWidth="1"/>
    <col min="3" max="3" width="14.6640625" bestFit="1" customWidth="1"/>
    <col min="4" max="5" width="14.5" bestFit="1" customWidth="1"/>
    <col min="6" max="8" width="15.5" bestFit="1" customWidth="1"/>
  </cols>
  <sheetData>
    <row r="1" spans="2:10" ht="16" thickBot="1" x14ac:dyDescent="0.4"/>
    <row r="2" spans="2:10" ht="16" thickBot="1" x14ac:dyDescent="0.4">
      <c r="B2" s="275"/>
      <c r="C2" s="292" t="s">
        <v>3</v>
      </c>
      <c r="D2" s="283" t="s">
        <v>4</v>
      </c>
      <c r="E2" s="283" t="s">
        <v>5</v>
      </c>
      <c r="F2" s="283" t="s">
        <v>6</v>
      </c>
      <c r="G2" s="284" t="s">
        <v>7</v>
      </c>
      <c r="H2" s="287" t="s">
        <v>9</v>
      </c>
    </row>
    <row r="3" spans="2:10" x14ac:dyDescent="0.35">
      <c r="B3" s="270" t="s">
        <v>95</v>
      </c>
      <c r="C3" s="293">
        <f>'Ricavi Anni 1-5'!C10</f>
        <v>400000</v>
      </c>
      <c r="D3" s="293">
        <f>'Ricavi Anni 1-5'!D10</f>
        <v>630000</v>
      </c>
      <c r="E3" s="293">
        <f>'Ricavi Anni 1-5'!E10</f>
        <v>750000</v>
      </c>
      <c r="F3" s="293">
        <f>'Ricavi Anni 1-5'!F10</f>
        <v>960000</v>
      </c>
      <c r="G3" s="316">
        <f>'Ricavi Anni 1-5'!G10</f>
        <v>1500000</v>
      </c>
      <c r="H3" s="317">
        <f>SUM(C3:G3)</f>
        <v>4240000</v>
      </c>
      <c r="J3" s="266">
        <f>(G3-C3)/C3</f>
        <v>2.75</v>
      </c>
    </row>
    <row r="4" spans="2:10" x14ac:dyDescent="0.35">
      <c r="B4" s="264" t="s">
        <v>96</v>
      </c>
      <c r="C4" s="260">
        <f>'Costi Anni 1-5'!C9</f>
        <v>500734.03263466666</v>
      </c>
      <c r="D4" s="249">
        <f>'Costi Anni 1-5'!D9</f>
        <v>497734.03263466666</v>
      </c>
      <c r="E4" s="249">
        <f>'Costi Anni 1-5'!E9</f>
        <v>497734.03263466671</v>
      </c>
      <c r="F4" s="249">
        <f>'Costi Anni 1-5'!F9</f>
        <v>495734.03263466671</v>
      </c>
      <c r="G4" s="285">
        <f>'Costi Anni 1-5'!G9</f>
        <v>495734.03263466671</v>
      </c>
      <c r="H4" s="289">
        <f t="shared" ref="H4" si="0">SUM(C4:G4)</f>
        <v>2487670.1631733333</v>
      </c>
      <c r="J4" s="266">
        <f t="shared" ref="J4:J11" si="1">(G4-C4)/C4</f>
        <v>-9.9853408678693099E-3</v>
      </c>
    </row>
    <row r="5" spans="2:10" x14ac:dyDescent="0.35">
      <c r="B5" s="296" t="s">
        <v>140</v>
      </c>
      <c r="C5" s="297">
        <f>'Costi Anni 1-5'!C11+MAX((C4-'Costi Anni 1-5'!C8)*'Costi Base'!$C$13,0)</f>
        <v>126305.048304</v>
      </c>
      <c r="D5" s="298">
        <f>'Costi Anni 1-5'!D11+MAX((D4-'Costi Anni 1-5'!D8)*'Costi Base'!$C$13,0)</f>
        <v>109390.80720703999</v>
      </c>
      <c r="E5" s="298">
        <f>'Costi Anni 1-5'!E11+MAX((E4-'Costi Anni 1-5'!E8)*'Costi Base'!$C$13,0)</f>
        <v>92836.566110079992</v>
      </c>
      <c r="F5" s="298">
        <f>'Costi Anni 1-5'!F11+MAX((F4-'Costi Anni 1-5'!F8)*'Costi Base'!$C$13,0)</f>
        <v>76042.325013119989</v>
      </c>
      <c r="G5" s="299">
        <f>'Costi Anni 1-5'!G11+MAX((G4-'Costi Anni 1-5'!G8)*'Costi Base'!$C$13,0)</f>
        <v>59488.083916159994</v>
      </c>
      <c r="H5" s="300">
        <f t="shared" ref="H5" si="2">SUM(C5:G5)</f>
        <v>464062.8305503999</v>
      </c>
      <c r="J5" s="266">
        <f t="shared" si="1"/>
        <v>-0.52901261893364848</v>
      </c>
    </row>
    <row r="6" spans="2:10" ht="16" thickBot="1" x14ac:dyDescent="0.4">
      <c r="B6" s="296" t="s">
        <v>106</v>
      </c>
      <c r="C6" s="297">
        <f>C4+C5</f>
        <v>627039.08093866659</v>
      </c>
      <c r="D6" s="298">
        <f t="shared" ref="D6:G6" si="3">D4+D5</f>
        <v>607124.83984170668</v>
      </c>
      <c r="E6" s="298">
        <f t="shared" si="3"/>
        <v>590570.59874474676</v>
      </c>
      <c r="F6" s="298">
        <f t="shared" si="3"/>
        <v>571776.35764778673</v>
      </c>
      <c r="G6" s="299">
        <f t="shared" si="3"/>
        <v>555222.1165508267</v>
      </c>
      <c r="H6" s="300">
        <f t="shared" ref="H6" si="4">SUM(C6:G6)</f>
        <v>2951732.9937237334</v>
      </c>
      <c r="J6" s="266">
        <f t="shared" si="1"/>
        <v>-0.11453347418207355</v>
      </c>
    </row>
    <row r="7" spans="2:10" x14ac:dyDescent="0.35">
      <c r="B7" s="332" t="s">
        <v>136</v>
      </c>
      <c r="C7" s="333">
        <f>C3-C6</f>
        <v>-227039.08093866659</v>
      </c>
      <c r="D7" s="334">
        <f t="shared" ref="D7:G7" si="5">D3-D6</f>
        <v>22875.160158293322</v>
      </c>
      <c r="E7" s="334">
        <f t="shared" si="5"/>
        <v>159429.40125525324</v>
      </c>
      <c r="F7" s="334">
        <f t="shared" si="5"/>
        <v>388223.64235221327</v>
      </c>
      <c r="G7" s="335">
        <f t="shared" si="5"/>
        <v>944777.8834491733</v>
      </c>
      <c r="H7" s="336">
        <f>SUM(C7:G7)</f>
        <v>1288267.0062762666</v>
      </c>
      <c r="J7" s="266">
        <f t="shared" si="1"/>
        <v>-5.1613006868381399</v>
      </c>
    </row>
    <row r="8" spans="2:10" ht="16" thickBot="1" x14ac:dyDescent="0.4">
      <c r="B8" s="337" t="s">
        <v>100</v>
      </c>
      <c r="C8" s="338">
        <f>C7/C3</f>
        <v>-0.56759770234666651</v>
      </c>
      <c r="D8" s="339">
        <f t="shared" ref="D8:G8" si="6">D7/D3</f>
        <v>3.6309778029037017E-2</v>
      </c>
      <c r="E8" s="339">
        <f t="shared" si="6"/>
        <v>0.21257253500700432</v>
      </c>
      <c r="F8" s="339">
        <f t="shared" si="6"/>
        <v>0.40439962745022218</v>
      </c>
      <c r="G8" s="340">
        <f t="shared" si="6"/>
        <v>0.62985192229944886</v>
      </c>
      <c r="H8" s="315">
        <f>H7/H3</f>
        <v>0.30383655808402515</v>
      </c>
      <c r="J8" s="266">
        <f t="shared" si="1"/>
        <v>-2.1096801831568373</v>
      </c>
    </row>
    <row r="9" spans="2:10" x14ac:dyDescent="0.35">
      <c r="B9" s="301" t="s">
        <v>122</v>
      </c>
      <c r="C9" s="302">
        <f>MAX(0,'Costi Base'!$C15*C7)</f>
        <v>0</v>
      </c>
      <c r="D9" s="303">
        <f>MAX(0,'Costi Base'!$C15*D7)</f>
        <v>5490.0384379903971</v>
      </c>
      <c r="E9" s="303">
        <f>MAX(0,'Costi Base'!$C15*E7)</f>
        <v>38263.056301260774</v>
      </c>
      <c r="F9" s="303">
        <f>MAX(0,'Costi Base'!$C15*F7)</f>
        <v>93173.674164531185</v>
      </c>
      <c r="G9" s="304">
        <f>MAX(0,'Costi Base'!$C15*G7)</f>
        <v>226746.69202780159</v>
      </c>
      <c r="H9" s="331">
        <f t="shared" ref="H9:H11" si="7">SUM(C9:G9)</f>
        <v>363673.46093158395</v>
      </c>
      <c r="J9" s="266" t="e">
        <f t="shared" si="1"/>
        <v>#DIV/0!</v>
      </c>
    </row>
    <row r="10" spans="2:10" x14ac:dyDescent="0.35">
      <c r="B10" s="310" t="s">
        <v>124</v>
      </c>
      <c r="C10" s="323">
        <f>C7+'Costi Anni 1-5'!C4</f>
        <v>48129.271972444491</v>
      </c>
      <c r="D10" s="324">
        <f>D7+'Costi Anni 1-5'!D4</f>
        <v>298043.51306940441</v>
      </c>
      <c r="E10" s="324">
        <f>E7+'Costi Anni 1-5'!E4</f>
        <v>434597.75416636438</v>
      </c>
      <c r="F10" s="324">
        <f>F7+'Costi Anni 1-5'!F4</f>
        <v>663391.99526332435</v>
      </c>
      <c r="G10" s="325">
        <f>G7+'Costi Anni 1-5'!G4</f>
        <v>1219946.2363602845</v>
      </c>
      <c r="H10" s="326">
        <f t="shared" si="7"/>
        <v>2664108.7708318224</v>
      </c>
      <c r="J10" s="266">
        <f t="shared" si="1"/>
        <v>24.347282150013445</v>
      </c>
    </row>
    <row r="11" spans="2:10" ht="16" thickBot="1" x14ac:dyDescent="0.4">
      <c r="B11" s="296" t="s">
        <v>125</v>
      </c>
      <c r="C11" s="294">
        <f>'Costi Base'!$C16*C10</f>
        <v>2319.8309090718244</v>
      </c>
      <c r="D11" s="294">
        <f>'Costi Base'!$C16*D10</f>
        <v>14365.697329945293</v>
      </c>
      <c r="E11" s="294">
        <f>'Costi Base'!$C16*E10</f>
        <v>20947.611750818764</v>
      </c>
      <c r="F11" s="294">
        <f>'Costi Base'!$C16*F10</f>
        <v>31975.494171692233</v>
      </c>
      <c r="G11" s="294">
        <f>'Costi Base'!$C16*G10</f>
        <v>58801.408592565713</v>
      </c>
      <c r="H11" s="300">
        <f t="shared" si="7"/>
        <v>128410.04275409383</v>
      </c>
      <c r="J11" s="266">
        <f t="shared" si="1"/>
        <v>24.347282150013442</v>
      </c>
    </row>
    <row r="12" spans="2:10" x14ac:dyDescent="0.35">
      <c r="B12" s="332" t="s">
        <v>123</v>
      </c>
      <c r="C12" s="333">
        <f>C7-C9-C11</f>
        <v>-229358.9118477384</v>
      </c>
      <c r="D12" s="333">
        <f>D7-D9-D11</f>
        <v>3019.4243903576298</v>
      </c>
      <c r="E12" s="333">
        <f>E7-E9-E11</f>
        <v>100218.7332031737</v>
      </c>
      <c r="F12" s="333">
        <f t="shared" ref="F12:G12" si="8">F7-F9-F11</f>
        <v>263074.47401598986</v>
      </c>
      <c r="G12" s="333">
        <f t="shared" si="8"/>
        <v>659229.78282880597</v>
      </c>
      <c r="H12" s="336">
        <f>SUM(C12:G12)</f>
        <v>796183.50259058876</v>
      </c>
      <c r="J12" s="266">
        <f>(G12-C12)/C12</f>
        <v>-3.8742278968712607</v>
      </c>
    </row>
    <row r="13" spans="2:10" ht="16" thickBot="1" x14ac:dyDescent="0.4">
      <c r="B13" s="337" t="s">
        <v>101</v>
      </c>
      <c r="C13" s="338">
        <f>C12/C3</f>
        <v>-0.57339727961934606</v>
      </c>
      <c r="D13" s="338">
        <f t="shared" ref="D13:G13" si="9">D12/D3</f>
        <v>4.792737127551793E-3</v>
      </c>
      <c r="E13" s="338">
        <f t="shared" si="9"/>
        <v>0.13362497760423162</v>
      </c>
      <c r="F13" s="338">
        <f t="shared" si="9"/>
        <v>0.27403591043332276</v>
      </c>
      <c r="G13" s="338">
        <f t="shared" si="9"/>
        <v>0.43948652188587062</v>
      </c>
      <c r="H13" s="315">
        <f>H12/H3</f>
        <v>0.18777912796947849</v>
      </c>
    </row>
    <row r="14" spans="2:10" ht="16" thickBot="1" x14ac:dyDescent="0.4">
      <c r="B14" s="275" t="s">
        <v>102</v>
      </c>
      <c r="C14" s="327">
        <f>C12</f>
        <v>-229358.9118477384</v>
      </c>
      <c r="D14" s="327">
        <f>C14+D12</f>
        <v>-226339.48745738078</v>
      </c>
      <c r="E14" s="327">
        <f>D14+E12</f>
        <v>-126120.75425420707</v>
      </c>
      <c r="F14" s="327">
        <f>E14+F12</f>
        <v>136953.71976178279</v>
      </c>
      <c r="G14" s="327">
        <f>F14+G12</f>
        <v>796183.50259058876</v>
      </c>
      <c r="H14" s="328"/>
    </row>
    <row r="18" spans="6:10" x14ac:dyDescent="0.35">
      <c r="J18" t="s">
        <v>42</v>
      </c>
    </row>
    <row r="21" spans="6:10" x14ac:dyDescent="0.35">
      <c r="F21" t="s">
        <v>42</v>
      </c>
    </row>
    <row r="23" spans="6:10" x14ac:dyDescent="0.35">
      <c r="G23" t="s">
        <v>42</v>
      </c>
    </row>
    <row r="39" spans="2:3" ht="16" thickBot="1" x14ac:dyDescent="0.4"/>
    <row r="40" spans="2:3" x14ac:dyDescent="0.35">
      <c r="B40" s="252" t="s">
        <v>126</v>
      </c>
      <c r="C40" s="342">
        <f>H12</f>
        <v>796183.50259058876</v>
      </c>
    </row>
    <row r="41" spans="2:3" x14ac:dyDescent="0.35">
      <c r="B41" s="247" t="s">
        <v>103</v>
      </c>
      <c r="C41" s="250">
        <f>'Costi Anno 0'!C10</f>
        <v>689760.04570666666</v>
      </c>
    </row>
    <row r="42" spans="2:3" ht="16" thickBot="1" x14ac:dyDescent="0.4">
      <c r="B42" s="254" t="s">
        <v>104</v>
      </c>
      <c r="C42" s="330">
        <f>C40/C41</f>
        <v>1.1542905500925182</v>
      </c>
    </row>
    <row r="43" spans="2:3" x14ac:dyDescent="0.35">
      <c r="B43" s="1" t="s">
        <v>138</v>
      </c>
      <c r="C43" s="343">
        <f>(C42-1)/5</f>
        <v>3.0858110018503648E-2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F7B722300C99644BBA4E01ACE20EBB6" ma:contentTypeVersion="8" ma:contentTypeDescription="Create a new document." ma:contentTypeScope="" ma:versionID="e7ebd0000f18172a68f9a48f286c2399">
  <xsd:schema xmlns:xsd="http://www.w3.org/2001/XMLSchema" xmlns:xs="http://www.w3.org/2001/XMLSchema" xmlns:p="http://schemas.microsoft.com/office/2006/metadata/properties" xmlns:ns2="dd4911ca-dc87-46a0-807b-aa3c895f9df8" targetNamespace="http://schemas.microsoft.com/office/2006/metadata/properties" ma:root="true" ma:fieldsID="47c73930cf6e0a3e6558fc90e9ea3c80" ns2:_="">
    <xsd:import namespace="dd4911ca-dc87-46a0-807b-aa3c895f9d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4911ca-dc87-46a0-807b-aa3c895f9df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6624272-BCC0-4313-8C18-5F49C01AA85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d4911ca-dc87-46a0-807b-aa3c895f9d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29CD6C8-8945-43CB-8CB8-87E2D6D9523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402870B-2651-404B-9F02-D186AD90365E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12</vt:i4>
      </vt:variant>
    </vt:vector>
  </HeadingPairs>
  <TitlesOfParts>
    <vt:vector size="12" baseType="lpstr">
      <vt:lpstr>GANTT progetto</vt:lpstr>
      <vt:lpstr>Plan Fase 1</vt:lpstr>
      <vt:lpstr>Gruppi Fase 1</vt:lpstr>
      <vt:lpstr>Plan Fase 2</vt:lpstr>
      <vt:lpstr>Gruppi Fase 2</vt:lpstr>
      <vt:lpstr>Riepilogo Impegni OP</vt:lpstr>
      <vt:lpstr>Riepilogo Impegni AP</vt:lpstr>
      <vt:lpstr>Costi Base</vt:lpstr>
      <vt:lpstr>Costi Anno 0</vt:lpstr>
      <vt:lpstr>Costi Anni 1-5</vt:lpstr>
      <vt:lpstr>Ricavi Anni 1-5</vt:lpstr>
      <vt:lpstr>Costi Ricavi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domenico sacca</dc:creator>
  <cp:lastModifiedBy>VITTORIO GALLICCHIO</cp:lastModifiedBy>
  <dcterms:created xsi:type="dcterms:W3CDTF">2023-12-03T08:46:25Z</dcterms:created>
  <dcterms:modified xsi:type="dcterms:W3CDTF">2026-02-20T23:36:03Z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0x010100DF7B722300C99644BBA4E01ACE20EBB6</vt:lpwstr>
  </property>
</Properties>
</file>